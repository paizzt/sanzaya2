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neDrive - Zuellig Pharma Holdings Pte Ltd\PRINCIPAL\File Teleflex\"/>
    </mc:Choice>
  </mc:AlternateContent>
  <bookViews>
    <workbookView xWindow="0" yWindow="0" windowWidth="24000" windowHeight="10425"/>
  </bookViews>
  <sheets>
    <sheet name="PRICE LIST" sheetId="7" r:id="rId1"/>
    <sheet name="I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7" l="1"/>
  <c r="D39" i="7"/>
  <c r="D40" i="7"/>
  <c r="D62" i="7"/>
  <c r="D63" i="7"/>
  <c r="D64" i="7"/>
  <c r="D65" i="7"/>
  <c r="D130" i="7" l="1"/>
  <c r="D129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50" i="7"/>
  <c r="D49" i="7"/>
  <c r="D61" i="7"/>
  <c r="D60" i="7"/>
  <c r="D59" i="7"/>
  <c r="D58" i="7"/>
  <c r="D57" i="7"/>
  <c r="D51" i="7"/>
  <c r="D56" i="7"/>
  <c r="D55" i="7"/>
  <c r="D54" i="7"/>
  <c r="D53" i="7"/>
  <c r="D52" i="7"/>
  <c r="D48" i="7"/>
  <c r="D47" i="7"/>
  <c r="D46" i="7"/>
  <c r="D45" i="7"/>
  <c r="D43" i="7"/>
  <c r="D42" i="7"/>
  <c r="D41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</calcChain>
</file>

<file path=xl/sharedStrings.xml><?xml version="1.0" encoding="utf-8"?>
<sst xmlns="http://schemas.openxmlformats.org/spreadsheetml/2006/main" count="430" uniqueCount="421">
  <si>
    <t>SKU Number</t>
  </si>
  <si>
    <t>SKU Description</t>
  </si>
  <si>
    <t>112482-000070</t>
  </si>
  <si>
    <t>112482-000075</t>
  </si>
  <si>
    <t>124700-000040</t>
  </si>
  <si>
    <t>124700-000050</t>
  </si>
  <si>
    <t>124700-000030</t>
  </si>
  <si>
    <t>100380-000030</t>
  </si>
  <si>
    <t>100380-000035</t>
  </si>
  <si>
    <t>103902-000075</t>
  </si>
  <si>
    <t>103902-000070</t>
  </si>
  <si>
    <t>112482-000065</t>
  </si>
  <si>
    <t>112482-000025</t>
  </si>
  <si>
    <t>100380-000025</t>
  </si>
  <si>
    <t>112482-000030</t>
  </si>
  <si>
    <t>112482-000035</t>
  </si>
  <si>
    <t>112482-000040</t>
  </si>
  <si>
    <t>112482-000060</t>
  </si>
  <si>
    <t>112482-000080</t>
  </si>
  <si>
    <t>112482-000050</t>
  </si>
  <si>
    <t>100380-000040</t>
  </si>
  <si>
    <t>112482-000045</t>
  </si>
  <si>
    <t>112482-000055</t>
  </si>
  <si>
    <t>103902-000065</t>
  </si>
  <si>
    <t>124700-000010</t>
  </si>
  <si>
    <t>100380-000045</t>
  </si>
  <si>
    <t>124700-000020</t>
  </si>
  <si>
    <t>103902-000060</t>
  </si>
  <si>
    <t>112082-000070</t>
  </si>
  <si>
    <t>124700-000003</t>
  </si>
  <si>
    <t>103902-000080</t>
  </si>
  <si>
    <t>103902-000055</t>
  </si>
  <si>
    <t>100380-000020</t>
  </si>
  <si>
    <t>124900-000040</t>
  </si>
  <si>
    <t>103902-000045</t>
  </si>
  <si>
    <t>112082-000065</t>
  </si>
  <si>
    <t>112082-000075</t>
  </si>
  <si>
    <t>124900-000030</t>
  </si>
  <si>
    <t>103902-000040</t>
  </si>
  <si>
    <t>103902-000050</t>
  </si>
  <si>
    <t>112082-000080</t>
  </si>
  <si>
    <t>103902-000035</t>
  </si>
  <si>
    <t>124700-000002</t>
  </si>
  <si>
    <t>100380-000055</t>
  </si>
  <si>
    <t>124700-000060</t>
  </si>
  <si>
    <t>121610-000075</t>
  </si>
  <si>
    <t>100380-000060</t>
  </si>
  <si>
    <t>503000-000043</t>
  </si>
  <si>
    <t>121610-000070</t>
  </si>
  <si>
    <t>112082-000060</t>
  </si>
  <si>
    <t>112682-000040</t>
  </si>
  <si>
    <t>503000-000033</t>
  </si>
  <si>
    <t>112682-000055</t>
  </si>
  <si>
    <t>112682-000060</t>
  </si>
  <si>
    <t>112082-000055</t>
  </si>
  <si>
    <t>112682-000035</t>
  </si>
  <si>
    <t>503000-000020</t>
  </si>
  <si>
    <t>124700-000001</t>
  </si>
  <si>
    <t>112682-000030</t>
  </si>
  <si>
    <t>121610-000065</t>
  </si>
  <si>
    <t>503000-000026</t>
  </si>
  <si>
    <t>112682-000050</t>
  </si>
  <si>
    <t>503000-000015</t>
  </si>
  <si>
    <t>100380-000050</t>
  </si>
  <si>
    <t>112682-000045</t>
  </si>
  <si>
    <t>503000-000056</t>
  </si>
  <si>
    <t>112682-000065</t>
  </si>
  <si>
    <t>112082-000050</t>
  </si>
  <si>
    <t>121610-000060</t>
  </si>
  <si>
    <t>121420-000070</t>
  </si>
  <si>
    <t>TRACHEOSTOMY CANNULA SET PHONATION</t>
  </si>
  <si>
    <t>112682-000080</t>
  </si>
  <si>
    <t>121610-000055</t>
  </si>
  <si>
    <t>124900-000050</t>
  </si>
  <si>
    <t>112082-000085</t>
  </si>
  <si>
    <t>112082-000090</t>
  </si>
  <si>
    <t>124900-000010</t>
  </si>
  <si>
    <t>124900-000020</t>
  </si>
  <si>
    <t>124900-000001</t>
  </si>
  <si>
    <t>121610-000080</t>
  </si>
  <si>
    <t>121610-000040</t>
  </si>
  <si>
    <t>103902-000085</t>
  </si>
  <si>
    <t>121310-000070</t>
  </si>
  <si>
    <t>121610-000035</t>
  </si>
  <si>
    <t>121610-000045</t>
  </si>
  <si>
    <t>121310-000075</t>
  </si>
  <si>
    <t>121420-000085</t>
  </si>
  <si>
    <t>100030</t>
  </si>
  <si>
    <t>LMA Classic Size 3</t>
  </si>
  <si>
    <t>100040</t>
  </si>
  <si>
    <t>LMA Classic Size 4</t>
  </si>
  <si>
    <t>100050</t>
  </si>
  <si>
    <t>LMA Classic Size 5</t>
  </si>
  <si>
    <t>131065</t>
  </si>
  <si>
    <t>LMA FASTRACH ETT 6.5MM</t>
  </si>
  <si>
    <t>131080</t>
  </si>
  <si>
    <t>LMA FASTRACH ETT 8.0MM</t>
  </si>
  <si>
    <t>150020</t>
  </si>
  <si>
    <t>150030</t>
  </si>
  <si>
    <t>LMA PROSEAL SIZE 3</t>
  </si>
  <si>
    <t>150040</t>
  </si>
  <si>
    <t>LMA PROSEAL SIZE 4</t>
  </si>
  <si>
    <t>175010</t>
  </si>
  <si>
    <t>LMA Supreme Size 1</t>
  </si>
  <si>
    <t>175015</t>
  </si>
  <si>
    <t>LMA Supreme Size 1.5</t>
  </si>
  <si>
    <t>175020</t>
  </si>
  <si>
    <t>LMA Supreme Size 2</t>
  </si>
  <si>
    <t>175025</t>
  </si>
  <si>
    <t>LMA Supreme Size 2.5</t>
  </si>
  <si>
    <t>175030</t>
  </si>
  <si>
    <t>LMA Supreme Size 3</t>
  </si>
  <si>
    <t>175040</t>
  </si>
  <si>
    <t>LMA Supreme Size 4</t>
  </si>
  <si>
    <t>175050</t>
  </si>
  <si>
    <t>LMA Supreme Size 5</t>
  </si>
  <si>
    <t>192040</t>
  </si>
  <si>
    <t>192050</t>
  </si>
  <si>
    <t>CS-12123-F</t>
  </si>
  <si>
    <t>CS-12122-F</t>
  </si>
  <si>
    <t>HEMODIALYSIS SET: 2-LUMEN 12 FR X 16 CM</t>
  </si>
  <si>
    <t>CS-14402</t>
  </si>
  <si>
    <t>CVC SET: 2-LUMEN 4 FR X 13 CM</t>
  </si>
  <si>
    <t>CS-14502</t>
  </si>
  <si>
    <t>CVC SET: 2-LUMEN 5 FR X 13 CM</t>
  </si>
  <si>
    <t>CS-15122-F</t>
  </si>
  <si>
    <t>HEMODIALYSIS SET: 2-LUMEN 12 FR X 20 CM</t>
  </si>
  <si>
    <t>CU-25122-F</t>
  </si>
  <si>
    <t>CV-12122-UF</t>
  </si>
  <si>
    <t>CV-25703-E</t>
  </si>
  <si>
    <t>CVC SET: 3-LUMEN 7FR X 20CM</t>
  </si>
  <si>
    <t>CV-27702-E</t>
  </si>
  <si>
    <t>CVC SET: 2-LUMEN 7FR X 20CM</t>
  </si>
  <si>
    <t>SI-09880</t>
  </si>
  <si>
    <t>PSI SET: 8.5 FR</t>
  </si>
  <si>
    <t>150015</t>
  </si>
  <si>
    <t>LMA ProSeal Size 1.5</t>
  </si>
  <si>
    <t>150025</t>
  </si>
  <si>
    <t>LMA ProSeal Size 2.5</t>
  </si>
  <si>
    <t>150050</t>
  </si>
  <si>
    <t>LMA PROSEAL SIZE 5</t>
  </si>
  <si>
    <t>100015</t>
  </si>
  <si>
    <t>LMA Classic Size 1.5</t>
  </si>
  <si>
    <t>100010</t>
  </si>
  <si>
    <t>LMA Classic Size 1</t>
  </si>
  <si>
    <t>150010</t>
  </si>
  <si>
    <t>LMA ProSeal Size 1</t>
  </si>
  <si>
    <t>100025</t>
  </si>
  <si>
    <t>LMA Classic Size 2.5</t>
  </si>
  <si>
    <t>131075</t>
  </si>
  <si>
    <t>LMA FASTRACH ETT 7.5MM</t>
  </si>
  <si>
    <t>100020</t>
  </si>
  <si>
    <t>LMA Classic Size 2</t>
  </si>
  <si>
    <t>PR-35041-HPSL</t>
  </si>
  <si>
    <t>PI PICC 1-LUMEN: 4FR X 50CM W/ 130CM SS</t>
  </si>
  <si>
    <t>PR-35052-HPSL</t>
  </si>
  <si>
    <t>PI PICC 2-LUMEN: 5FR X 50CM W/ 130CM SS</t>
  </si>
  <si>
    <t>AK-04660-S</t>
  </si>
  <si>
    <t>CV-50014</t>
  </si>
  <si>
    <t>CVC SET: 14 GA X 8" (20 CM)</t>
  </si>
  <si>
    <t>2500-9300-026</t>
  </si>
  <si>
    <t>3/16 TUBE WYES</t>
  </si>
  <si>
    <t>3100-0015-001</t>
  </si>
  <si>
    <t>Tubing: Tygon Clear 5/16"OD x 3/16" ID</t>
  </si>
  <si>
    <t>3100-9035-001</t>
  </si>
  <si>
    <t>BRAID REINFORCED PVC TUBING</t>
  </si>
  <si>
    <t>3100-9100-004</t>
  </si>
  <si>
    <t>TUBING TYGON 1/8 ID X 1/ 4 OD</t>
  </si>
  <si>
    <t>33-0063-001</t>
  </si>
  <si>
    <t>POWER SUPPLY, AUTOCAT3</t>
  </si>
  <si>
    <t>4000-9022-001</t>
  </si>
  <si>
    <t>BATTERY: 12V 20AH W/LAB</t>
  </si>
  <si>
    <t>4006</t>
  </si>
  <si>
    <t>PRONTO V4 6F</t>
  </si>
  <si>
    <t>4500-9100-004</t>
  </si>
  <si>
    <t>AUGMENTATION CHAMBER</t>
  </si>
  <si>
    <t>5570</t>
  </si>
  <si>
    <t>GuideLiner,3.5,5.5F</t>
  </si>
  <si>
    <t>5571</t>
  </si>
  <si>
    <t>GuideLiner,3.5,6F</t>
  </si>
  <si>
    <t>5572</t>
  </si>
  <si>
    <t>GuideLiner,3.5,7F</t>
  </si>
  <si>
    <t>5638</t>
  </si>
  <si>
    <t>Turnpike LP 135CM</t>
  </si>
  <si>
    <t>5640</t>
  </si>
  <si>
    <t>TURNPIKE SPIRAL 135CM</t>
  </si>
  <si>
    <t>77-3012-001</t>
  </si>
  <si>
    <t>ASSEMBLY:INTERFACE BLOCK AUTOC</t>
  </si>
  <si>
    <t>77-3024-001</t>
  </si>
  <si>
    <t>AUGMENTATION VALVE ASSEM BY</t>
  </si>
  <si>
    <t>77-3200-001W</t>
  </si>
  <si>
    <t>AUTOCAT2 SERIES PUMP ASS EMBLY</t>
  </si>
  <si>
    <t>90-0845-001</t>
  </si>
  <si>
    <t>BOTTLE: WATER COLLECTION (REWORKED)</t>
  </si>
  <si>
    <t>CL-07645</t>
  </si>
  <si>
    <t>CATH-LAB SHEATH INTRO SET:</t>
  </si>
  <si>
    <t>CL-07735</t>
  </si>
  <si>
    <t>CL-07745</t>
  </si>
  <si>
    <t>CL-07790-R</t>
  </si>
  <si>
    <t>CS-15192-VFIE</t>
  </si>
  <si>
    <t>HEMODIALYSIS SET: 2-L 15 FR X 19 CM ANTE</t>
  </si>
  <si>
    <t>IAB-05830-LWS</t>
  </si>
  <si>
    <t>FiberOptix Ultra 8 IAB: 8Fr 30cc</t>
  </si>
  <si>
    <t>IAB-05840-LWS</t>
  </si>
  <si>
    <t>FiberOptix Ultra 8 IAB: 8Fr 40cc</t>
  </si>
  <si>
    <t>IAB-06830-U</t>
  </si>
  <si>
    <t>UltraFlex IAB: 7.5Fr 30cc</t>
  </si>
  <si>
    <t>IAB-06840-U</t>
  </si>
  <si>
    <t>UltraFlex IAB: 7.5Fr 40cc</t>
  </si>
  <si>
    <t>IAH-09047</t>
  </si>
  <si>
    <t>HELIUM TANK 100 LITER 29 00 PS</t>
  </si>
  <si>
    <t>IAP-0701</t>
  </si>
  <si>
    <t>AC3 Optimus IABP NA/AJLA</t>
  </si>
  <si>
    <t>IAT-00221</t>
  </si>
  <si>
    <t>Universal Simulator 220V Assembly</t>
  </si>
  <si>
    <t>EC-05400-E</t>
  </si>
  <si>
    <t>EPIDURAL CATHETERIZATION SET: 19</t>
  </si>
  <si>
    <t>AW-04018</t>
  </si>
  <si>
    <t>SPRING WIRE GUIDE COMPONENT</t>
  </si>
  <si>
    <t>CD-10802</t>
  </si>
  <si>
    <t>105200-000010</t>
  </si>
  <si>
    <t>LMA Unique Silicone Cuff Pilot, Size 1</t>
  </si>
  <si>
    <t>105200-000015</t>
  </si>
  <si>
    <t>LMA Unique Silicone Cuff Pilot, Size 1.5</t>
  </si>
  <si>
    <t>105200-000020</t>
  </si>
  <si>
    <t>LMA Unique Silicone Cuff Pilot, Size 2</t>
  </si>
  <si>
    <t>105200-000025</t>
  </si>
  <si>
    <t>LMA Unique Silicone Cuff Pilot, Size 2.5</t>
  </si>
  <si>
    <t>105200-000030</t>
  </si>
  <si>
    <t>LMA Unique Silicone Cuff Pilot, Size 3</t>
  </si>
  <si>
    <t>105200-000040</t>
  </si>
  <si>
    <t>LMA Unique Silicone Cuff Pilot, Size 4</t>
  </si>
  <si>
    <t>105200-000050</t>
  </si>
  <si>
    <t>LMA Unique Silicone Cuff Pilot, Size 5</t>
  </si>
  <si>
    <t>77-3018-001</t>
  </si>
  <si>
    <t>MForce Motor Driver Assembly</t>
  </si>
  <si>
    <t>IAT-00025</t>
  </si>
  <si>
    <t>ACCESSORY SET</t>
  </si>
  <si>
    <t>1400-9043-001</t>
  </si>
  <si>
    <t>CASTER: 5 HARDWHEEL W/L OCK</t>
  </si>
  <si>
    <t>4300-0003-001</t>
  </si>
  <si>
    <t>Circuit Breaker</t>
  </si>
  <si>
    <t>77-0063-003</t>
  </si>
  <si>
    <t>AUTOCAT MARTEK POWER SUPPLY</t>
  </si>
  <si>
    <t>77-1000-003</t>
  </si>
  <si>
    <t>AUTOCAT2 CPU BOARD - WITH 2.24 SOFTWARE</t>
  </si>
  <si>
    <t>77-1010-003</t>
  </si>
  <si>
    <t>Front End Board</t>
  </si>
  <si>
    <t xml:space="preserve">77-3007-001 </t>
  </si>
  <si>
    <t>Helium Regulator Assembly</t>
  </si>
  <si>
    <t>96-3006-001W</t>
  </si>
  <si>
    <t>Pneumatic Control System Board</t>
  </si>
  <si>
    <t>2800-9502-002</t>
  </si>
  <si>
    <t xml:space="preserve">UIM Extension Arm Dowel Pin     </t>
  </si>
  <si>
    <t>33-0100-003</t>
  </si>
  <si>
    <t>Display Head_AutoCAT3</t>
  </si>
  <si>
    <t>33-0116-001</t>
  </si>
  <si>
    <t>Panel - AC3 Right Side Panel</t>
  </si>
  <si>
    <t>33-0118-001</t>
  </si>
  <si>
    <t>FRONT PANEL - AC3</t>
  </si>
  <si>
    <t>33-0119-001</t>
  </si>
  <si>
    <t>HELIUM DOOR PANEL - AUTOCAT3</t>
  </si>
  <si>
    <t>33-0120-002</t>
  </si>
  <si>
    <t>TOP PANEL ASSEMBLY, AC3</t>
  </si>
  <si>
    <t>33-0122-001</t>
  </si>
  <si>
    <t>Right Side Handle - AutoCAT3</t>
  </si>
  <si>
    <t>33-0122-002</t>
  </si>
  <si>
    <t>Left Side Handle - AutoCAT3</t>
  </si>
  <si>
    <t>33-0123-001</t>
  </si>
  <si>
    <t>HANDLE: FRONT, AUTOCAT3</t>
  </si>
  <si>
    <t>33-0151-004</t>
  </si>
  <si>
    <t xml:space="preserve">UIM MOUNT ARM        </t>
  </si>
  <si>
    <t>33-0161-012</t>
  </si>
  <si>
    <t xml:space="preserve">Monitor Arm - AC3         </t>
  </si>
  <si>
    <t>33-1000-003</t>
  </si>
  <si>
    <t>AutoCAT3 Series CPM Board</t>
  </si>
  <si>
    <t>33-1020-003</t>
  </si>
  <si>
    <t>AutoCAT3 Series Front End Board</t>
  </si>
  <si>
    <t>33-3008-002</t>
  </si>
  <si>
    <t>Left Side Panel Assembly</t>
  </si>
  <si>
    <t>33-3009-001</t>
  </si>
  <si>
    <t>RAISE &amp; LOWER ASSEMBLY, AC3</t>
  </si>
  <si>
    <t>33-3010-001</t>
  </si>
  <si>
    <t>Augmentation Valve Assembly</t>
  </si>
  <si>
    <t>33-3011-001</t>
  </si>
  <si>
    <t>33-3022-001</t>
  </si>
  <si>
    <t>33-3025-001</t>
  </si>
  <si>
    <t>Motor Driver Assembly</t>
  </si>
  <si>
    <t>33-3737-005</t>
  </si>
  <si>
    <t>AUTOCAT3 PRINTER CABLE</t>
  </si>
  <si>
    <t>33-3737-007</t>
  </si>
  <si>
    <t xml:space="preserve">UIM DVI cable                 </t>
  </si>
  <si>
    <t>3400-0000024</t>
  </si>
  <si>
    <t xml:space="preserve">Set Screw: 18-8 SS, 6/32" x 1/4" ext pt ext pt      </t>
  </si>
  <si>
    <t>3400-0000050</t>
  </si>
  <si>
    <t xml:space="preserve">Screw: 18-8 SS, 10-24x3/8" Low Profile    </t>
  </si>
  <si>
    <t>3400-0000053</t>
  </si>
  <si>
    <t xml:space="preserve">5/32" x 3/8" Slotted Spring Pin SS              </t>
  </si>
  <si>
    <t>IAH-09145</t>
  </si>
  <si>
    <t>HELIUM TANK ADAPTER</t>
  </si>
  <si>
    <t>2500-9085-002</t>
  </si>
  <si>
    <t>WASHER: HELIUM TANK</t>
  </si>
  <si>
    <t>List Price / ea
w/o VAT</t>
  </si>
  <si>
    <t>List Price / ea
with VAT</t>
  </si>
  <si>
    <t xml:space="preserve">PT APL </t>
  </si>
  <si>
    <t>TAHUN 2024</t>
  </si>
  <si>
    <t>DAFTAR HARGA ARROW (TELEFLEX)</t>
  </si>
  <si>
    <t>LMA ProSeal Size 2</t>
  </si>
  <si>
    <t>ARROW</t>
  </si>
  <si>
    <t xml:space="preserve">LMA </t>
  </si>
  <si>
    <t>RUSCH</t>
  </si>
  <si>
    <t>HEMODIALYSIS  SET: 3-LUMEN 12 FR X 16 CM</t>
  </si>
  <si>
    <t>GUEDEL AIRWAY CLEAR RUSCHELIT SIZE 1</t>
  </si>
  <si>
    <t>GUEDEL AIRWAY CLEAR RUSCHELIT SIZE 2</t>
  </si>
  <si>
    <t>GUEDEL AIRWAY CLEAR RUSCHELIT SIZE 3</t>
  </si>
  <si>
    <t>GUEDEL AIRWAY CLEAR RUSCHELIT SIZE 4</t>
  </si>
  <si>
    <t>GUEDEL AIRWAY CLEAR RUSCHELIT SIZE 5</t>
  </si>
  <si>
    <t>GUEDEL AIRWAY CLEAR RUSCHELIT SIZE 6</t>
  </si>
  <si>
    <t>RUSCH INTUBATION STYLET REUSABLE SIZE 1.5</t>
  </si>
  <si>
    <t>RUSCH INTUBATION STYLET REUSABLE S1ZE 2.0</t>
  </si>
  <si>
    <t>RUSCH INTUBATION STYLET REUSABLE SIZE 2.6</t>
  </si>
  <si>
    <t>RUSCH INTUBATION STYLET REUSABLE SIZE 3.3</t>
  </si>
  <si>
    <t>RUSCH INTUBATION STYLET REUSABLE SIZE 4.3</t>
  </si>
  <si>
    <t>RUSCH INTUBATION STYLET REUSABLE SIZE 5.6</t>
  </si>
  <si>
    <t>FLEX. INNER CANNULA COLOUR-CODED F. CRYSTA</t>
  </si>
  <si>
    <t>LMA GASTRO SIZE 3</t>
  </si>
  <si>
    <t>LMA GASTRO SIZE 4</t>
  </si>
  <si>
    <t xml:space="preserve">CVC KIT: 24 GA X 5" (12CM) </t>
  </si>
  <si>
    <t>LMA PROTECTOR CUFF PILOT SIZE 3</t>
  </si>
  <si>
    <t>LMA PROTECTOR CUFF PILOT SIZE 4</t>
  </si>
  <si>
    <t>LMA PROTECTOR CUFF PILOT SIZE 5</t>
  </si>
  <si>
    <t>1E5030</t>
  </si>
  <si>
    <t>1E5040</t>
  </si>
  <si>
    <t>1E5050</t>
  </si>
  <si>
    <t>LMA GASTRO SIZE 5</t>
  </si>
  <si>
    <t>HEMODIALYSIS SET: 2-LUMEN 12 FR X 20 CM U BAND</t>
  </si>
  <si>
    <t xml:space="preserve">HEMODIALYSIS SET: 2-LUMEN 12 FR X 16 CM ,UBAND </t>
  </si>
  <si>
    <t>HEMODIALYSIS  SET: 2-LUMEN 8FR X 11CM (PEDIATRIC)</t>
  </si>
  <si>
    <t>TRACHEAL TUBE UN CUFF SIZE 2/ ETT CLEAR UN CUFF SIZE 2</t>
  </si>
  <si>
    <t>TRACHEAL TUBE UN CUFF SIZE 2.5/ ETT CLEAR UN CUFF SIZE 2.5</t>
  </si>
  <si>
    <t>TRACHEAL TUBE UN CUFF SIZE 3/ETT CLEAR UN CUFF SIZE 3</t>
  </si>
  <si>
    <t>TRACHEAL TUBE UN CUFF SIZE 3.5/ETT CLEAR UN CUFF SIZE 3.5</t>
  </si>
  <si>
    <t>TRACHEAL TUBE UN CUFF SIZE 4/ETT CLEAR UN CUFF SIZE 4</t>
  </si>
  <si>
    <t>TRACHEAL TUBE UN CUFF SIZE 4.5/ETT CLEAR UN CUFF SIZE 4.5</t>
  </si>
  <si>
    <t>TRACHEAL TUBE UN CUFF SIZE 5/ETT CLEAR UN CUFF SIZE 5</t>
  </si>
  <si>
    <t>TRACHEAL TUBE UN CUFF SIZE 5.5/ETT CLEAR UN CUFF SIZE 5.5</t>
  </si>
  <si>
    <t>TRACHEAL TUBE UN CUFF SIZE 6/ETT CLEAR UN  CUFF SIZE 6</t>
  </si>
  <si>
    <t>TRACHEAL TUBE  CUFF SIZE 2.5 /ETT CLEAR CUFF SIZE 2.5</t>
  </si>
  <si>
    <t xml:space="preserve">TRACHEAL TUBE CUFFED SIZE 3/ETT CLEAR CUFF SIZE 3 </t>
  </si>
  <si>
    <t>TRACHEAL TUBE CUFFED SIZE 3.5 /ETT CLEAR CUFF SIZE 3.5</t>
  </si>
  <si>
    <t>TRACHEAL TUBE CUFFED SIZE 4 /ETT CLEAR CUFF SIZE 4</t>
  </si>
  <si>
    <t>TRACHEAL TUBE CUFFED SIZE 4.5 /ETT CLEAR CUFF SIZE 4.5</t>
  </si>
  <si>
    <t>TRACHEAL TUBE CUFFED SIZE 5 /ETT CLEAR CUFF SIZE 5</t>
  </si>
  <si>
    <t>TRACHEAL TUBE CUFFED SIZE 5.5 /ETT CLEAR CUFF SIZE 5.5</t>
  </si>
  <si>
    <t>TRACHEAL TUBE CUFFED SIZE 6/ETT CLEAR CUFF SIZE 6</t>
  </si>
  <si>
    <t>TRACHEAL TUBE CUFFED SIZE 7</t>
  </si>
  <si>
    <t xml:space="preserve">TRACHEAL TUBE CUFFED SIZE 6.5 /ETT CLEAR CUFF SIZE 6.5 </t>
  </si>
  <si>
    <t xml:space="preserve">TRACHEAL TUBE CUFFED SIZE 7/ ETT CLEAR CUFF SIZE 7 </t>
  </si>
  <si>
    <t xml:space="preserve">TRACHEAL TUBE CUFFED SIZE 7.5 /ETT CLEAR CUFF SIZE 7.5 </t>
  </si>
  <si>
    <t xml:space="preserve">TRACHEAL TUBE CUFFED SIZE 8 /ETT CLEAR CUFF SIZE 8 </t>
  </si>
  <si>
    <t xml:space="preserve">SKU NUMBER </t>
  </si>
  <si>
    <t xml:space="preserve">CURVED REINFORCD CUFF SIZE 3.5 /ETT NKK SIZE 3.5 </t>
  </si>
  <si>
    <t>CURVED REINFORCD CUFF SIZE 4 /ETT NKK SIZE 4</t>
  </si>
  <si>
    <t>CURVED REINFORCD CUFF SIZE 4.5 /ETT NKK SIZE 4.5</t>
  </si>
  <si>
    <t>CURVED REINFORCD CUFF SIZE 5 /ETT NKK SIZE 5</t>
  </si>
  <si>
    <t>CURVED REINFORCD CUFF SIZE 5.5 /ETT NKK SIZE 5.5</t>
  </si>
  <si>
    <t>CURVED REINFORCD CUFF SIZE 6 /ETT NKK SIZE 6</t>
  </si>
  <si>
    <t>CURVED REINFORCD CUFF SIZE 6.5 /ETT NKK SIZE 6.5</t>
  </si>
  <si>
    <t>CURVED REINFORCD CUFF SIZE 7 /ETT NKK SIZE 7</t>
  </si>
  <si>
    <t>CURVED REINFORCD CUFF SIZE 7.5 /ETT NKK SIZE 7.5</t>
  </si>
  <si>
    <t>CURVED REINFORCD CUFF SIZE 8 /ETT NKK SIZE 8</t>
  </si>
  <si>
    <t>CURVED REINFORCD CUFF SIZE 8.5 /ETT NKK SIZE 8.5</t>
  </si>
  <si>
    <t>TRACHEAL TUBE CUFFED MURPHY SIZE 3</t>
  </si>
  <si>
    <t>TRACHEAL TUBE CUFFED MURPHY SIZE 3.5</t>
  </si>
  <si>
    <t>TRACHEAL TUBE CUFFED MURPHY SIZE 4</t>
  </si>
  <si>
    <t>TRACHEAL TUBE CUFFED MURPHY SIZE 4.5</t>
  </si>
  <si>
    <t>TRACHEAL TUBE CUFFED MURPHY SIZE 5</t>
  </si>
  <si>
    <t>TRACHEAL TUBE CUFFED MURPHY SIZE 5.5</t>
  </si>
  <si>
    <t>TRACHEAL TUBE CUFFED MURPHY SIZE 6</t>
  </si>
  <si>
    <t>TRACHEAL TUBE CUFFED MURPHY SIZE 6.5</t>
  </si>
  <si>
    <t>112682-000070</t>
  </si>
  <si>
    <t>TRACHEAL TUBE CUFFED MURPHY SIZE 7</t>
  </si>
  <si>
    <t xml:space="preserve">TRACHEAL TUBE CUFFED MURPHY SIZE 8 </t>
  </si>
  <si>
    <t>TRACHEAL TUBE CUFFED SIZE 5</t>
  </si>
  <si>
    <t xml:space="preserve">TRACHEAL TUBE CUFFED SIZE 5.5 </t>
  </si>
  <si>
    <t>TRACHEAL TUBE CUFFED SIZE 6</t>
  </si>
  <si>
    <t>TRACHEAL TUBE CUFFED SZE 6.5</t>
  </si>
  <si>
    <t xml:space="preserve">TRACHEAL TUBE CUFFED SIZE 7.5  </t>
  </si>
  <si>
    <t>TRACHEAL TUBE CUFFED SIZE 8</t>
  </si>
  <si>
    <t>TRACHEAL TUBE CUFFED SIZE 8.5</t>
  </si>
  <si>
    <t>TRACHEAL TUBE CUFFED SIZE 9</t>
  </si>
  <si>
    <t>TRACHEOSTOMY TUBE CUFFED SIZE 3.5</t>
  </si>
  <si>
    <t>TRACHEOSTOMY TUBE CUFFED SIZE 4</t>
  </si>
  <si>
    <t>TRACHEOSTOMY TUBE CUFFED SIZE 4.5</t>
  </si>
  <si>
    <t>TRACHEOSTOMY TUBE CUFFED SIZE 5.5</t>
  </si>
  <si>
    <t>TRACHEOSTOMY TUBE CUFFED SIZE 6</t>
  </si>
  <si>
    <t>TRACHEOSTOMY TUBE CUFFED SIZE 6.5</t>
  </si>
  <si>
    <t>TRACHEOSTOMY TUBE CUFFED SIZE 7</t>
  </si>
  <si>
    <t>TRACHEOSTOMY TUBE CUFFED SIZE 7.5</t>
  </si>
  <si>
    <t>TRACHEOSTOMY TUBE CUFFED SIZE 8</t>
  </si>
  <si>
    <t xml:space="preserve">SKU DESCRIPTION </t>
  </si>
  <si>
    <t>GUEDEL AIRWAY CLEAR RUSCHELIT SIZE 000</t>
  </si>
  <si>
    <t>GUEDEL AIRWAY CLEAR RUSCHELIT SIZE 00</t>
  </si>
  <si>
    <t>GUEDEL AIRWAY CLEAR RUSCHELIT SIZE  0</t>
  </si>
  <si>
    <t>OROPHARYNGEAL AIRWAY  SIZE 0</t>
  </si>
  <si>
    <t>OROPHARYNGEAL AIRWAY  SIZE 1</t>
  </si>
  <si>
    <t>OROPHARYNGEAL AIRWAY  SIZE 2</t>
  </si>
  <si>
    <t>OROPHARYNGEAL AIRWAY  SIZE 3</t>
  </si>
  <si>
    <t>OROPHARYNGEAL AIRWAY  SIZE 4</t>
  </si>
  <si>
    <t>OROPHARYNGEAL AIRWAY  SIZE 5</t>
  </si>
  <si>
    <t xml:space="preserve">LIST PRICE TMID </t>
  </si>
  <si>
    <t xml:space="preserve">LMA / ARROW/ RUSCH </t>
  </si>
  <si>
    <t>List Price / EA
w/o VAT</t>
  </si>
  <si>
    <t>List Price / EA
with VAT</t>
  </si>
  <si>
    <t>9018P-VC-005</t>
  </si>
  <si>
    <t>9001P-VC-005</t>
  </si>
  <si>
    <t>9079P-VC-005</t>
  </si>
  <si>
    <t>EZ-IO POWER DRIVER</t>
  </si>
  <si>
    <t>Arrow EZ-IO Needle+Stabilizer Kit - 15 mm</t>
  </si>
  <si>
    <t>Arrow EZ-IO Needle+Stabilizer Kit - 25 mm</t>
  </si>
  <si>
    <t>Arrow EZ-IO Needle+Stabilizer Kit - 45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</si>
</sst>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name val="Calibri"/>
      <family val="2"/>
    </font>
    <font>
      <sz val="11"/>
      <color rgb="FF0070C0"/>
      <name val="Calibri"/>
      <family val="2"/>
      <scheme val="minor"/>
    </font>
    <font>
      <sz val="11"/>
      <color theme="1"/>
      <name val="72 Black"/>
      <family val="2"/>
    </font>
    <font>
      <sz val="14"/>
      <color rgb="FF0070C0"/>
      <name val="72 Black"/>
      <family val="2"/>
    </font>
    <font>
      <sz val="11"/>
      <color rgb="FF0070C0"/>
      <name val="Elephant"/>
      <family val="1"/>
    </font>
    <font>
      <b/>
      <sz val="11"/>
      <color rgb="FF0070C0"/>
      <name val="Elephant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43" fontId="0" fillId="0" borderId="0" xfId="0" applyNumberFormat="1"/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5" fillId="0" borderId="0" xfId="0" applyFont="1" applyAlignment="1">
      <alignment horizontal="center"/>
    </xf>
    <xf numFmtId="0" fontId="3" fillId="0" borderId="2" xfId="0" quotePrefix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164" fontId="0" fillId="0" borderId="0" xfId="2" applyNumberFormat="1" applyFont="1"/>
    <xf numFmtId="0" fontId="2" fillId="0" borderId="2" xfId="0" applyFont="1" applyBorder="1" applyAlignment="1">
      <alignment horizontal="center" vertical="top" wrapText="1"/>
    </xf>
    <xf numFmtId="0" fontId="0" fillId="0" borderId="2" xfId="0" applyBorder="1"/>
    <xf numFmtId="0" fontId="7" fillId="0" borderId="0" xfId="0" applyFont="1"/>
    <xf numFmtId="43" fontId="7" fillId="0" borderId="0" xfId="1" applyFont="1"/>
    <xf numFmtId="43" fontId="3" fillId="0" borderId="2" xfId="1" applyFont="1" applyBorder="1" applyAlignment="1">
      <alignment horizontal="left"/>
    </xf>
    <xf numFmtId="43" fontId="0" fillId="0" borderId="2" xfId="1" applyFont="1" applyBorder="1"/>
    <xf numFmtId="0" fontId="0" fillId="2" borderId="2" xfId="0" applyFill="1" applyBorder="1"/>
    <xf numFmtId="43" fontId="3" fillId="2" borderId="2" xfId="1" applyFont="1" applyFill="1" applyBorder="1" applyAlignment="1">
      <alignment horizontal="left"/>
    </xf>
    <xf numFmtId="0" fontId="8" fillId="0" borderId="0" xfId="0" applyFont="1"/>
    <xf numFmtId="0" fontId="0" fillId="2" borderId="2" xfId="0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9" fillId="2" borderId="2" xfId="0" applyFont="1" applyFill="1" applyBorder="1"/>
    <xf numFmtId="0" fontId="3" fillId="3" borderId="2" xfId="0" applyFont="1" applyFill="1" applyBorder="1" applyAlignment="1">
      <alignment horizontal="left"/>
    </xf>
    <xf numFmtId="0" fontId="10" fillId="2" borderId="2" xfId="0" quotePrefix="1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/>
    <xf numFmtId="11" fontId="3" fillId="4" borderId="2" xfId="0" quotePrefix="1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/>
    </xf>
    <xf numFmtId="43" fontId="0" fillId="4" borderId="0" xfId="1" applyFont="1" applyFill="1"/>
    <xf numFmtId="43" fontId="0" fillId="4" borderId="2" xfId="1" applyFont="1" applyFill="1" applyBorder="1"/>
    <xf numFmtId="43" fontId="3" fillId="4" borderId="2" xfId="1" applyFont="1" applyFill="1" applyBorder="1" applyAlignment="1">
      <alignment horizontal="left"/>
    </xf>
    <xf numFmtId="4" fontId="0" fillId="4" borderId="2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51"/>
  <sheetViews>
    <sheetView tabSelected="1" topLeftCell="A3" zoomScale="78" zoomScaleNormal="78" workbookViewId="0">
      <selection activeCell="F57" sqref="F57"/>
    </sheetView>
  </sheetViews>
  <sheetFormatPr defaultRowHeight="15" x14ac:dyDescent="0.25"/>
  <cols>
    <col min="1" max="1" width="13.85546875" customWidth="1"/>
    <col min="2" max="2" width="53.5703125" customWidth="1"/>
    <col min="3" max="3" width="19.85546875" customWidth="1"/>
    <col min="4" max="4" width="17.140625" customWidth="1"/>
  </cols>
  <sheetData>
    <row r="1" spans="1:4" x14ac:dyDescent="0.25">
      <c r="A1" s="19" t="s">
        <v>410</v>
      </c>
      <c r="B1" s="19"/>
    </row>
    <row r="2" spans="1:4" x14ac:dyDescent="0.25">
      <c r="A2" s="19" t="s">
        <v>411</v>
      </c>
      <c r="B2" s="19"/>
    </row>
    <row r="3" spans="1:4" x14ac:dyDescent="0.25">
      <c r="A3" s="19">
        <v>2024</v>
      </c>
      <c r="B3" s="19"/>
    </row>
    <row r="5" spans="1:4" ht="30" x14ac:dyDescent="0.25">
      <c r="A5" s="11" t="s">
        <v>360</v>
      </c>
      <c r="B5" s="11" t="s">
        <v>400</v>
      </c>
      <c r="C5" s="11" t="s">
        <v>412</v>
      </c>
      <c r="D5" s="11" t="s">
        <v>413</v>
      </c>
    </row>
    <row r="6" spans="1:4" ht="15.75" x14ac:dyDescent="0.25">
      <c r="A6" s="25" t="s">
        <v>309</v>
      </c>
      <c r="B6" s="11"/>
      <c r="C6" s="11"/>
      <c r="D6" s="11"/>
    </row>
    <row r="7" spans="1:4" x14ac:dyDescent="0.25">
      <c r="A7" s="17" t="s">
        <v>220</v>
      </c>
      <c r="B7" s="17" t="s">
        <v>221</v>
      </c>
      <c r="C7" s="15">
        <v>302703</v>
      </c>
      <c r="D7" s="16">
        <f t="shared" ref="D7:D20" si="0">C7*1.11</f>
        <v>336000.33</v>
      </c>
    </row>
    <row r="8" spans="1:4" x14ac:dyDescent="0.25">
      <c r="A8" s="17" t="s">
        <v>222</v>
      </c>
      <c r="B8" s="17" t="s">
        <v>223</v>
      </c>
      <c r="C8" s="15">
        <v>302703</v>
      </c>
      <c r="D8" s="16">
        <f t="shared" si="0"/>
        <v>336000.33</v>
      </c>
    </row>
    <row r="9" spans="1:4" x14ac:dyDescent="0.25">
      <c r="A9" s="17" t="s">
        <v>224</v>
      </c>
      <c r="B9" s="17" t="s">
        <v>225</v>
      </c>
      <c r="C9" s="15">
        <v>302703</v>
      </c>
      <c r="D9" s="16">
        <f t="shared" si="0"/>
        <v>336000.33</v>
      </c>
    </row>
    <row r="10" spans="1:4" x14ac:dyDescent="0.25">
      <c r="A10" s="17" t="s">
        <v>226</v>
      </c>
      <c r="B10" s="17" t="s">
        <v>227</v>
      </c>
      <c r="C10" s="15">
        <v>302703</v>
      </c>
      <c r="D10" s="16">
        <f t="shared" si="0"/>
        <v>336000.33</v>
      </c>
    </row>
    <row r="11" spans="1:4" x14ac:dyDescent="0.25">
      <c r="A11" s="17" t="s">
        <v>228</v>
      </c>
      <c r="B11" s="17" t="s">
        <v>229</v>
      </c>
      <c r="C11" s="15">
        <v>302703</v>
      </c>
      <c r="D11" s="16">
        <f t="shared" si="0"/>
        <v>336000.33</v>
      </c>
    </row>
    <row r="12" spans="1:4" x14ac:dyDescent="0.25">
      <c r="A12" s="17" t="s">
        <v>230</v>
      </c>
      <c r="B12" s="17" t="s">
        <v>231</v>
      </c>
      <c r="C12" s="15">
        <v>302703</v>
      </c>
      <c r="D12" s="16">
        <f t="shared" si="0"/>
        <v>336000.33</v>
      </c>
    </row>
    <row r="13" spans="1:4" x14ac:dyDescent="0.25">
      <c r="A13" s="17" t="s">
        <v>232</v>
      </c>
      <c r="B13" s="17" t="s">
        <v>233</v>
      </c>
      <c r="C13" s="15">
        <v>302703</v>
      </c>
      <c r="D13" s="16">
        <f t="shared" si="0"/>
        <v>336000.33</v>
      </c>
    </row>
    <row r="14" spans="1:4" x14ac:dyDescent="0.25">
      <c r="A14" s="5" t="s">
        <v>102</v>
      </c>
      <c r="B14" s="2" t="s">
        <v>103</v>
      </c>
      <c r="C14" s="15">
        <v>527568</v>
      </c>
      <c r="D14" s="16">
        <f t="shared" si="0"/>
        <v>585600.4800000001</v>
      </c>
    </row>
    <row r="15" spans="1:4" x14ac:dyDescent="0.25">
      <c r="A15" s="5" t="s">
        <v>104</v>
      </c>
      <c r="B15" s="2" t="s">
        <v>105</v>
      </c>
      <c r="C15" s="15">
        <v>527568</v>
      </c>
      <c r="D15" s="16">
        <f t="shared" si="0"/>
        <v>585600.4800000001</v>
      </c>
    </row>
    <row r="16" spans="1:4" x14ac:dyDescent="0.25">
      <c r="A16" s="5" t="s">
        <v>106</v>
      </c>
      <c r="B16" s="2" t="s">
        <v>107</v>
      </c>
      <c r="C16" s="15">
        <v>527568</v>
      </c>
      <c r="D16" s="16">
        <f t="shared" si="0"/>
        <v>585600.4800000001</v>
      </c>
    </row>
    <row r="17" spans="1:4" x14ac:dyDescent="0.25">
      <c r="A17" s="5" t="s">
        <v>108</v>
      </c>
      <c r="B17" s="2" t="s">
        <v>109</v>
      </c>
      <c r="C17" s="15">
        <v>527568</v>
      </c>
      <c r="D17" s="16">
        <f t="shared" si="0"/>
        <v>585600.4800000001</v>
      </c>
    </row>
    <row r="18" spans="1:4" x14ac:dyDescent="0.25">
      <c r="A18" s="5" t="s">
        <v>110</v>
      </c>
      <c r="B18" s="2" t="s">
        <v>111</v>
      </c>
      <c r="C18" s="15">
        <v>527568</v>
      </c>
      <c r="D18" s="16">
        <f t="shared" si="0"/>
        <v>585600.4800000001</v>
      </c>
    </row>
    <row r="19" spans="1:4" x14ac:dyDescent="0.25">
      <c r="A19" s="5" t="s">
        <v>112</v>
      </c>
      <c r="B19" s="2" t="s">
        <v>113</v>
      </c>
      <c r="C19" s="15">
        <v>527568</v>
      </c>
      <c r="D19" s="16">
        <f t="shared" si="0"/>
        <v>585600.4800000001</v>
      </c>
    </row>
    <row r="20" spans="1:4" x14ac:dyDescent="0.25">
      <c r="A20" s="5" t="s">
        <v>114</v>
      </c>
      <c r="B20" s="2" t="s">
        <v>115</v>
      </c>
      <c r="C20" s="15">
        <v>527568</v>
      </c>
      <c r="D20" s="16">
        <f t="shared" si="0"/>
        <v>585600.4800000001</v>
      </c>
    </row>
    <row r="21" spans="1:4" x14ac:dyDescent="0.25">
      <c r="A21" s="5" t="s">
        <v>143</v>
      </c>
      <c r="B21" s="2" t="s">
        <v>144</v>
      </c>
      <c r="C21" s="15">
        <v>2972973</v>
      </c>
      <c r="D21" s="16">
        <f>C21*1.11</f>
        <v>3300000.0300000003</v>
      </c>
    </row>
    <row r="22" spans="1:4" x14ac:dyDescent="0.25">
      <c r="A22" s="5" t="s">
        <v>141</v>
      </c>
      <c r="B22" s="2" t="s">
        <v>142</v>
      </c>
      <c r="C22" s="15">
        <v>2972973</v>
      </c>
      <c r="D22" s="16">
        <f t="shared" ref="D22:D43" si="1">C22*1.11</f>
        <v>3300000.0300000003</v>
      </c>
    </row>
    <row r="23" spans="1:4" x14ac:dyDescent="0.25">
      <c r="A23" s="5" t="s">
        <v>151</v>
      </c>
      <c r="B23" s="2" t="s">
        <v>152</v>
      </c>
      <c r="C23" s="15">
        <v>2972973</v>
      </c>
      <c r="D23" s="16">
        <f t="shared" si="1"/>
        <v>3300000.0300000003</v>
      </c>
    </row>
    <row r="24" spans="1:4" x14ac:dyDescent="0.25">
      <c r="A24" s="5" t="s">
        <v>147</v>
      </c>
      <c r="B24" s="2" t="s">
        <v>148</v>
      </c>
      <c r="C24" s="15">
        <v>2972973</v>
      </c>
      <c r="D24" s="16">
        <f t="shared" si="1"/>
        <v>3300000.0300000003</v>
      </c>
    </row>
    <row r="25" spans="1:4" x14ac:dyDescent="0.25">
      <c r="A25" s="5" t="s">
        <v>87</v>
      </c>
      <c r="B25" s="2" t="s">
        <v>88</v>
      </c>
      <c r="C25" s="15">
        <v>2972973</v>
      </c>
      <c r="D25" s="16">
        <f t="shared" si="1"/>
        <v>3300000.0300000003</v>
      </c>
    </row>
    <row r="26" spans="1:4" x14ac:dyDescent="0.25">
      <c r="A26" s="5" t="s">
        <v>89</v>
      </c>
      <c r="B26" s="2" t="s">
        <v>90</v>
      </c>
      <c r="C26" s="15">
        <v>2972973</v>
      </c>
      <c r="D26" s="16">
        <f t="shared" si="1"/>
        <v>3300000.0300000003</v>
      </c>
    </row>
    <row r="27" spans="1:4" x14ac:dyDescent="0.25">
      <c r="A27" s="5" t="s">
        <v>91</v>
      </c>
      <c r="B27" s="2" t="s">
        <v>92</v>
      </c>
      <c r="C27" s="15">
        <v>2972973</v>
      </c>
      <c r="D27" s="16">
        <f t="shared" si="1"/>
        <v>3300000.0300000003</v>
      </c>
    </row>
    <row r="28" spans="1:4" x14ac:dyDescent="0.25">
      <c r="A28" s="5" t="s">
        <v>145</v>
      </c>
      <c r="B28" s="2" t="s">
        <v>146</v>
      </c>
      <c r="C28" s="15">
        <v>2972973</v>
      </c>
      <c r="D28" s="16">
        <f t="shared" si="1"/>
        <v>3300000.0300000003</v>
      </c>
    </row>
    <row r="29" spans="1:4" x14ac:dyDescent="0.25">
      <c r="A29" s="5" t="s">
        <v>135</v>
      </c>
      <c r="B29" s="2" t="s">
        <v>136</v>
      </c>
      <c r="C29" s="15">
        <v>2972973</v>
      </c>
      <c r="D29" s="16">
        <f t="shared" si="1"/>
        <v>3300000.0300000003</v>
      </c>
    </row>
    <row r="30" spans="1:4" x14ac:dyDescent="0.25">
      <c r="A30" s="5" t="s">
        <v>97</v>
      </c>
      <c r="B30" s="2" t="s">
        <v>307</v>
      </c>
      <c r="C30" s="15">
        <v>2972973</v>
      </c>
      <c r="D30" s="16">
        <f t="shared" si="1"/>
        <v>3300000.0300000003</v>
      </c>
    </row>
    <row r="31" spans="1:4" x14ac:dyDescent="0.25">
      <c r="A31" s="5" t="s">
        <v>137</v>
      </c>
      <c r="B31" s="2" t="s">
        <v>138</v>
      </c>
      <c r="C31" s="15">
        <v>2972973</v>
      </c>
      <c r="D31" s="16">
        <f t="shared" si="1"/>
        <v>3300000.0300000003</v>
      </c>
    </row>
    <row r="32" spans="1:4" x14ac:dyDescent="0.25">
      <c r="A32" s="5" t="s">
        <v>98</v>
      </c>
      <c r="B32" s="2" t="s">
        <v>99</v>
      </c>
      <c r="C32" s="15">
        <v>4951351</v>
      </c>
      <c r="D32" s="16">
        <f t="shared" si="1"/>
        <v>5495999.6100000003</v>
      </c>
    </row>
    <row r="33" spans="1:4" x14ac:dyDescent="0.25">
      <c r="A33" s="5" t="s">
        <v>100</v>
      </c>
      <c r="B33" s="2" t="s">
        <v>101</v>
      </c>
      <c r="C33" s="15">
        <v>4951351</v>
      </c>
      <c r="D33" s="16">
        <f t="shared" si="1"/>
        <v>5495999.6100000003</v>
      </c>
    </row>
    <row r="34" spans="1:4" x14ac:dyDescent="0.25">
      <c r="A34" s="5" t="s">
        <v>139</v>
      </c>
      <c r="B34" s="2" t="s">
        <v>140</v>
      </c>
      <c r="C34" s="15">
        <v>4951351</v>
      </c>
      <c r="D34" s="16">
        <f t="shared" si="1"/>
        <v>5495999.6100000003</v>
      </c>
    </row>
    <row r="35" spans="1:4" x14ac:dyDescent="0.25">
      <c r="A35" s="5">
        <v>192030</v>
      </c>
      <c r="B35" s="2" t="s">
        <v>328</v>
      </c>
      <c r="C35" s="15">
        <v>1292973</v>
      </c>
      <c r="D35" s="16">
        <f t="shared" si="1"/>
        <v>1435200.03</v>
      </c>
    </row>
    <row r="36" spans="1:4" x14ac:dyDescent="0.25">
      <c r="A36" s="5" t="s">
        <v>116</v>
      </c>
      <c r="B36" s="2" t="s">
        <v>329</v>
      </c>
      <c r="C36" s="15">
        <v>1292973</v>
      </c>
      <c r="D36" s="16">
        <f t="shared" si="1"/>
        <v>1435200.03</v>
      </c>
    </row>
    <row r="37" spans="1:4" x14ac:dyDescent="0.25">
      <c r="A37" s="5" t="s">
        <v>117</v>
      </c>
      <c r="B37" s="2" t="s">
        <v>330</v>
      </c>
      <c r="C37" s="15">
        <v>1292973</v>
      </c>
      <c r="D37" s="16">
        <f t="shared" si="1"/>
        <v>1435200.03</v>
      </c>
    </row>
    <row r="38" spans="1:4" x14ac:dyDescent="0.25">
      <c r="A38" s="28" t="s">
        <v>331</v>
      </c>
      <c r="B38" s="29" t="s">
        <v>325</v>
      </c>
      <c r="C38" s="30">
        <v>1640400</v>
      </c>
      <c r="D38" s="31">
        <f>C38*1.11</f>
        <v>1820844.0000000002</v>
      </c>
    </row>
    <row r="39" spans="1:4" x14ac:dyDescent="0.25">
      <c r="A39" s="28" t="s">
        <v>332</v>
      </c>
      <c r="B39" s="29" t="s">
        <v>326</v>
      </c>
      <c r="C39" s="32">
        <v>1640400</v>
      </c>
      <c r="D39" s="31">
        <f t="shared" si="1"/>
        <v>1820844.0000000002</v>
      </c>
    </row>
    <row r="40" spans="1:4" x14ac:dyDescent="0.25">
      <c r="A40" s="28" t="s">
        <v>333</v>
      </c>
      <c r="B40" s="29" t="s">
        <v>334</v>
      </c>
      <c r="C40" s="32">
        <v>1640400</v>
      </c>
      <c r="D40" s="31">
        <f t="shared" si="1"/>
        <v>1820844.0000000002</v>
      </c>
    </row>
    <row r="41" spans="1:4" x14ac:dyDescent="0.25">
      <c r="A41" s="5" t="s">
        <v>93</v>
      </c>
      <c r="B41" s="2" t="s">
        <v>94</v>
      </c>
      <c r="C41" s="15">
        <v>1462703</v>
      </c>
      <c r="D41" s="16">
        <f t="shared" si="1"/>
        <v>1623600.33</v>
      </c>
    </row>
    <row r="42" spans="1:4" x14ac:dyDescent="0.25">
      <c r="A42" s="5" t="s">
        <v>149</v>
      </c>
      <c r="B42" s="2" t="s">
        <v>150</v>
      </c>
      <c r="C42" s="15">
        <v>1462703</v>
      </c>
      <c r="D42" s="16">
        <f t="shared" si="1"/>
        <v>1623600.33</v>
      </c>
    </row>
    <row r="43" spans="1:4" x14ac:dyDescent="0.25">
      <c r="A43" s="5" t="s">
        <v>95</v>
      </c>
      <c r="B43" s="2" t="s">
        <v>96</v>
      </c>
      <c r="C43" s="15">
        <v>1462703</v>
      </c>
      <c r="D43" s="16">
        <f t="shared" si="1"/>
        <v>1623600.33</v>
      </c>
    </row>
    <row r="44" spans="1:4" ht="15.75" x14ac:dyDescent="0.25">
      <c r="A44" s="24" t="s">
        <v>308</v>
      </c>
      <c r="B44" s="2"/>
      <c r="C44" s="15"/>
      <c r="D44" s="16"/>
    </row>
    <row r="45" spans="1:4" x14ac:dyDescent="0.25">
      <c r="A45" s="3" t="s">
        <v>157</v>
      </c>
      <c r="B45" s="20" t="s">
        <v>327</v>
      </c>
      <c r="C45" s="15">
        <v>639000</v>
      </c>
      <c r="D45" s="16">
        <f t="shared" ref="D45:D65" si="2">C45*1.11</f>
        <v>709290.00000000012</v>
      </c>
    </row>
    <row r="46" spans="1:4" x14ac:dyDescent="0.25">
      <c r="A46" s="3" t="s">
        <v>158</v>
      </c>
      <c r="B46" s="21" t="s">
        <v>159</v>
      </c>
      <c r="C46" s="15">
        <v>194400</v>
      </c>
      <c r="D46" s="16">
        <f t="shared" si="2"/>
        <v>215784.00000000003</v>
      </c>
    </row>
    <row r="47" spans="1:4" x14ac:dyDescent="0.25">
      <c r="A47" s="6" t="s">
        <v>121</v>
      </c>
      <c r="B47" s="7" t="s">
        <v>122</v>
      </c>
      <c r="C47" s="15">
        <v>913514</v>
      </c>
      <c r="D47" s="16">
        <f t="shared" si="2"/>
        <v>1014000.54</v>
      </c>
    </row>
    <row r="48" spans="1:4" x14ac:dyDescent="0.25">
      <c r="A48" s="6" t="s">
        <v>123</v>
      </c>
      <c r="B48" s="7" t="s">
        <v>124</v>
      </c>
      <c r="C48" s="15">
        <v>913514</v>
      </c>
      <c r="D48" s="16">
        <f t="shared" si="2"/>
        <v>1014000.54</v>
      </c>
    </row>
    <row r="49" spans="1:4" x14ac:dyDescent="0.25">
      <c r="A49" s="6" t="s">
        <v>131</v>
      </c>
      <c r="B49" s="7" t="s">
        <v>132</v>
      </c>
      <c r="C49" s="15">
        <v>646486</v>
      </c>
      <c r="D49" s="16">
        <f t="shared" si="2"/>
        <v>717599.46000000008</v>
      </c>
    </row>
    <row r="50" spans="1:4" x14ac:dyDescent="0.25">
      <c r="A50" s="6" t="s">
        <v>129</v>
      </c>
      <c r="B50" s="8" t="s">
        <v>130</v>
      </c>
      <c r="C50" s="15">
        <v>701622</v>
      </c>
      <c r="D50" s="16">
        <f t="shared" si="2"/>
        <v>778800.42</v>
      </c>
    </row>
    <row r="51" spans="1:4" x14ac:dyDescent="0.25">
      <c r="A51" s="12" t="s">
        <v>219</v>
      </c>
      <c r="B51" s="12" t="s">
        <v>337</v>
      </c>
      <c r="C51" s="15">
        <v>591381</v>
      </c>
      <c r="D51" s="16">
        <f t="shared" si="2"/>
        <v>656432.91</v>
      </c>
    </row>
    <row r="52" spans="1:4" x14ac:dyDescent="0.25">
      <c r="A52" s="6" t="s">
        <v>119</v>
      </c>
      <c r="B52" s="7" t="s">
        <v>120</v>
      </c>
      <c r="C52" s="15">
        <v>1002162</v>
      </c>
      <c r="D52" s="16">
        <f t="shared" si="2"/>
        <v>1112399.82</v>
      </c>
    </row>
    <row r="53" spans="1:4" x14ac:dyDescent="0.25">
      <c r="A53" s="6" t="s">
        <v>118</v>
      </c>
      <c r="B53" s="7" t="s">
        <v>311</v>
      </c>
      <c r="C53" s="15">
        <v>1281081</v>
      </c>
      <c r="D53" s="16">
        <f t="shared" si="2"/>
        <v>1421999.9100000001</v>
      </c>
    </row>
    <row r="54" spans="1:4" x14ac:dyDescent="0.25">
      <c r="A54" s="6" t="s">
        <v>125</v>
      </c>
      <c r="B54" s="7" t="s">
        <v>126</v>
      </c>
      <c r="C54" s="15">
        <v>980541</v>
      </c>
      <c r="D54" s="16">
        <f t="shared" si="2"/>
        <v>1088400.51</v>
      </c>
    </row>
    <row r="55" spans="1:4" x14ac:dyDescent="0.25">
      <c r="A55" s="6" t="s">
        <v>127</v>
      </c>
      <c r="B55" s="7" t="s">
        <v>335</v>
      </c>
      <c r="C55" s="15">
        <v>1871351</v>
      </c>
      <c r="D55" s="16">
        <f t="shared" si="2"/>
        <v>2077199.61</v>
      </c>
    </row>
    <row r="56" spans="1:4" x14ac:dyDescent="0.25">
      <c r="A56" s="6" t="s">
        <v>128</v>
      </c>
      <c r="B56" s="7" t="s">
        <v>336</v>
      </c>
      <c r="C56" s="15">
        <v>1169730</v>
      </c>
      <c r="D56" s="16">
        <f t="shared" si="2"/>
        <v>1298400.3</v>
      </c>
    </row>
    <row r="57" spans="1:4" x14ac:dyDescent="0.25">
      <c r="A57" s="3" t="s">
        <v>153</v>
      </c>
      <c r="B57" s="3" t="s">
        <v>154</v>
      </c>
      <c r="C57" s="15">
        <v>2394595</v>
      </c>
      <c r="D57" s="16">
        <f t="shared" si="2"/>
        <v>2658000.4500000002</v>
      </c>
    </row>
    <row r="58" spans="1:4" x14ac:dyDescent="0.25">
      <c r="A58" s="3" t="s">
        <v>155</v>
      </c>
      <c r="B58" s="3" t="s">
        <v>156</v>
      </c>
      <c r="C58" s="15">
        <v>2840000</v>
      </c>
      <c r="D58" s="16">
        <f t="shared" si="2"/>
        <v>3152400.0000000005</v>
      </c>
    </row>
    <row r="59" spans="1:4" x14ac:dyDescent="0.25">
      <c r="A59" s="6" t="s">
        <v>133</v>
      </c>
      <c r="B59" s="2" t="s">
        <v>134</v>
      </c>
      <c r="C59" s="15">
        <v>893557</v>
      </c>
      <c r="D59" s="16">
        <f t="shared" si="2"/>
        <v>991848.27000000014</v>
      </c>
    </row>
    <row r="60" spans="1:4" x14ac:dyDescent="0.25">
      <c r="A60" s="12" t="s">
        <v>217</v>
      </c>
      <c r="B60" s="12" t="s">
        <v>218</v>
      </c>
      <c r="C60" s="15">
        <v>438764</v>
      </c>
      <c r="D60" s="16">
        <f t="shared" si="2"/>
        <v>487028.04000000004</v>
      </c>
    </row>
    <row r="61" spans="1:4" x14ac:dyDescent="0.25">
      <c r="A61" s="12" t="s">
        <v>215</v>
      </c>
      <c r="B61" s="12" t="s">
        <v>216</v>
      </c>
      <c r="C61" s="15">
        <v>8774400</v>
      </c>
      <c r="D61" s="16">
        <f t="shared" si="2"/>
        <v>9739584</v>
      </c>
    </row>
    <row r="62" spans="1:4" x14ac:dyDescent="0.25">
      <c r="A62" s="26">
        <v>9058</v>
      </c>
      <c r="B62" s="27" t="s">
        <v>417</v>
      </c>
      <c r="C62" s="33">
        <v>7440000</v>
      </c>
      <c r="D62" s="31">
        <f t="shared" si="2"/>
        <v>8258400.0000000009</v>
      </c>
    </row>
    <row r="63" spans="1:4" x14ac:dyDescent="0.25">
      <c r="A63" s="26" t="s">
        <v>414</v>
      </c>
      <c r="B63" s="27" t="s">
        <v>418</v>
      </c>
      <c r="C63" s="33">
        <v>2040000</v>
      </c>
      <c r="D63" s="31">
        <f t="shared" si="2"/>
        <v>2264400</v>
      </c>
    </row>
    <row r="64" spans="1:4" x14ac:dyDescent="0.25">
      <c r="A64" s="26" t="s">
        <v>415</v>
      </c>
      <c r="B64" s="27" t="s">
        <v>419</v>
      </c>
      <c r="C64" s="33">
        <v>2040000</v>
      </c>
      <c r="D64" s="31">
        <f t="shared" si="2"/>
        <v>2264400</v>
      </c>
    </row>
    <row r="65" spans="1:4" x14ac:dyDescent="0.25">
      <c r="A65" s="26" t="s">
        <v>416</v>
      </c>
      <c r="B65" s="27" t="s">
        <v>420</v>
      </c>
      <c r="C65" s="33">
        <v>2040000</v>
      </c>
      <c r="D65" s="31">
        <f t="shared" si="2"/>
        <v>2264400</v>
      </c>
    </row>
    <row r="66" spans="1:4" ht="18" x14ac:dyDescent="0.25">
      <c r="A66" s="22" t="s">
        <v>310</v>
      </c>
      <c r="B66" s="12"/>
      <c r="C66" s="15"/>
      <c r="D66" s="16"/>
    </row>
    <row r="67" spans="1:4" x14ac:dyDescent="0.25">
      <c r="A67" s="2" t="s">
        <v>32</v>
      </c>
      <c r="B67" s="2" t="s">
        <v>338</v>
      </c>
      <c r="C67" s="15">
        <v>34739</v>
      </c>
      <c r="D67" s="16">
        <f t="shared" ref="D67:D132" si="3">C67*1.11</f>
        <v>38560.29</v>
      </c>
    </row>
    <row r="68" spans="1:4" x14ac:dyDescent="0.25">
      <c r="A68" s="2" t="s">
        <v>13</v>
      </c>
      <c r="B68" s="2" t="s">
        <v>339</v>
      </c>
      <c r="C68" s="15">
        <v>34739</v>
      </c>
      <c r="D68" s="16">
        <f t="shared" si="3"/>
        <v>38560.29</v>
      </c>
    </row>
    <row r="69" spans="1:4" x14ac:dyDescent="0.25">
      <c r="A69" s="2" t="s">
        <v>7</v>
      </c>
      <c r="B69" s="2" t="s">
        <v>340</v>
      </c>
      <c r="C69" s="15">
        <v>34739</v>
      </c>
      <c r="D69" s="16">
        <f t="shared" si="3"/>
        <v>38560.29</v>
      </c>
    </row>
    <row r="70" spans="1:4" x14ac:dyDescent="0.25">
      <c r="A70" s="2" t="s">
        <v>8</v>
      </c>
      <c r="B70" s="2" t="s">
        <v>341</v>
      </c>
      <c r="C70" s="15">
        <v>34739</v>
      </c>
      <c r="D70" s="16">
        <f t="shared" si="3"/>
        <v>38560.29</v>
      </c>
    </row>
    <row r="71" spans="1:4" x14ac:dyDescent="0.25">
      <c r="A71" s="2" t="s">
        <v>20</v>
      </c>
      <c r="B71" s="2" t="s">
        <v>342</v>
      </c>
      <c r="C71" s="15">
        <v>34739</v>
      </c>
      <c r="D71" s="16">
        <f t="shared" si="3"/>
        <v>38560.29</v>
      </c>
    </row>
    <row r="72" spans="1:4" x14ac:dyDescent="0.25">
      <c r="A72" s="2" t="s">
        <v>25</v>
      </c>
      <c r="B72" s="2" t="s">
        <v>343</v>
      </c>
      <c r="C72" s="15">
        <v>34739</v>
      </c>
      <c r="D72" s="16">
        <f t="shared" si="3"/>
        <v>38560.29</v>
      </c>
    </row>
    <row r="73" spans="1:4" x14ac:dyDescent="0.25">
      <c r="A73" s="2" t="s">
        <v>63</v>
      </c>
      <c r="B73" s="2" t="s">
        <v>344</v>
      </c>
      <c r="C73" s="15">
        <v>34739</v>
      </c>
      <c r="D73" s="16">
        <f t="shared" si="3"/>
        <v>38560.29</v>
      </c>
    </row>
    <row r="74" spans="1:4" x14ac:dyDescent="0.25">
      <c r="A74" s="2" t="s">
        <v>43</v>
      </c>
      <c r="B74" s="2" t="s">
        <v>345</v>
      </c>
      <c r="C74" s="15">
        <v>34739</v>
      </c>
      <c r="D74" s="16">
        <f t="shared" si="3"/>
        <v>38560.29</v>
      </c>
    </row>
    <row r="75" spans="1:4" x14ac:dyDescent="0.25">
      <c r="A75" s="2" t="s">
        <v>46</v>
      </c>
      <c r="B75" s="2" t="s">
        <v>346</v>
      </c>
      <c r="C75" s="15">
        <v>34739</v>
      </c>
      <c r="D75" s="16">
        <f t="shared" si="3"/>
        <v>38560.29</v>
      </c>
    </row>
    <row r="76" spans="1:4" x14ac:dyDescent="0.25">
      <c r="A76" s="2" t="s">
        <v>12</v>
      </c>
      <c r="B76" s="2" t="s">
        <v>347</v>
      </c>
      <c r="C76" s="15">
        <v>92400</v>
      </c>
      <c r="D76" s="16">
        <f t="shared" si="3"/>
        <v>102564.00000000001</v>
      </c>
    </row>
    <row r="77" spans="1:4" x14ac:dyDescent="0.25">
      <c r="A77" s="2" t="s">
        <v>14</v>
      </c>
      <c r="B77" s="2" t="s">
        <v>348</v>
      </c>
      <c r="C77" s="15">
        <v>46200</v>
      </c>
      <c r="D77" s="16">
        <f t="shared" si="3"/>
        <v>51282.000000000007</v>
      </c>
    </row>
    <row r="78" spans="1:4" x14ac:dyDescent="0.25">
      <c r="A78" s="2" t="s">
        <v>15</v>
      </c>
      <c r="B78" s="2" t="s">
        <v>349</v>
      </c>
      <c r="C78" s="15">
        <v>46200</v>
      </c>
      <c r="D78" s="16">
        <f t="shared" si="3"/>
        <v>51282.000000000007</v>
      </c>
    </row>
    <row r="79" spans="1:4" x14ac:dyDescent="0.25">
      <c r="A79" s="2" t="s">
        <v>16</v>
      </c>
      <c r="B79" s="2" t="s">
        <v>350</v>
      </c>
      <c r="C79" s="15">
        <v>46200</v>
      </c>
      <c r="D79" s="16">
        <f t="shared" si="3"/>
        <v>51282.000000000007</v>
      </c>
    </row>
    <row r="80" spans="1:4" x14ac:dyDescent="0.25">
      <c r="A80" s="2" t="s">
        <v>21</v>
      </c>
      <c r="B80" s="2" t="s">
        <v>351</v>
      </c>
      <c r="C80" s="15">
        <v>46200</v>
      </c>
      <c r="D80" s="16">
        <f t="shared" si="3"/>
        <v>51282.000000000007</v>
      </c>
    </row>
    <row r="81" spans="1:4" x14ac:dyDescent="0.25">
      <c r="A81" s="2" t="s">
        <v>19</v>
      </c>
      <c r="B81" s="2" t="s">
        <v>352</v>
      </c>
      <c r="C81" s="15">
        <v>46200</v>
      </c>
      <c r="D81" s="16">
        <f t="shared" si="3"/>
        <v>51282.000000000007</v>
      </c>
    </row>
    <row r="82" spans="1:4" x14ac:dyDescent="0.25">
      <c r="A82" s="2" t="s">
        <v>22</v>
      </c>
      <c r="B82" s="2" t="s">
        <v>353</v>
      </c>
      <c r="C82" s="15">
        <v>46200</v>
      </c>
      <c r="D82" s="16">
        <f t="shared" si="3"/>
        <v>51282.000000000007</v>
      </c>
    </row>
    <row r="83" spans="1:4" x14ac:dyDescent="0.25">
      <c r="A83" s="2" t="s">
        <v>17</v>
      </c>
      <c r="B83" s="2" t="s">
        <v>354</v>
      </c>
      <c r="C83" s="15">
        <v>46200</v>
      </c>
      <c r="D83" s="16">
        <f t="shared" si="3"/>
        <v>51282.000000000007</v>
      </c>
    </row>
    <row r="84" spans="1:4" x14ac:dyDescent="0.25">
      <c r="A84" s="2" t="s">
        <v>11</v>
      </c>
      <c r="B84" s="2" t="s">
        <v>356</v>
      </c>
      <c r="C84" s="15">
        <v>46200</v>
      </c>
      <c r="D84" s="16">
        <f t="shared" si="3"/>
        <v>51282.000000000007</v>
      </c>
    </row>
    <row r="85" spans="1:4" x14ac:dyDescent="0.25">
      <c r="A85" s="2" t="s">
        <v>2</v>
      </c>
      <c r="B85" s="2" t="s">
        <v>357</v>
      </c>
      <c r="C85" s="15">
        <v>46200</v>
      </c>
      <c r="D85" s="16">
        <f t="shared" si="3"/>
        <v>51282.000000000007</v>
      </c>
    </row>
    <row r="86" spans="1:4" x14ac:dyDescent="0.25">
      <c r="A86" s="2" t="s">
        <v>3</v>
      </c>
      <c r="B86" s="2" t="s">
        <v>358</v>
      </c>
      <c r="C86" s="15">
        <v>46200</v>
      </c>
      <c r="D86" s="16">
        <f t="shared" si="3"/>
        <v>51282.000000000007</v>
      </c>
    </row>
    <row r="87" spans="1:4" x14ac:dyDescent="0.25">
      <c r="A87" s="2" t="s">
        <v>18</v>
      </c>
      <c r="B87" s="2" t="s">
        <v>359</v>
      </c>
      <c r="C87" s="15">
        <v>46200</v>
      </c>
      <c r="D87" s="16">
        <f t="shared" si="3"/>
        <v>51282.000000000007</v>
      </c>
    </row>
    <row r="88" spans="1:4" x14ac:dyDescent="0.25">
      <c r="A88" s="2" t="s">
        <v>41</v>
      </c>
      <c r="B88" s="2" t="s">
        <v>361</v>
      </c>
      <c r="C88" s="15">
        <v>301812</v>
      </c>
      <c r="D88" s="16">
        <f t="shared" si="3"/>
        <v>335011.32</v>
      </c>
    </row>
    <row r="89" spans="1:4" x14ac:dyDescent="0.25">
      <c r="A89" s="2" t="s">
        <v>38</v>
      </c>
      <c r="B89" s="2" t="s">
        <v>362</v>
      </c>
      <c r="C89" s="15">
        <v>301812</v>
      </c>
      <c r="D89" s="16">
        <f t="shared" si="3"/>
        <v>335011.32</v>
      </c>
    </row>
    <row r="90" spans="1:4" x14ac:dyDescent="0.25">
      <c r="A90" s="2" t="s">
        <v>34</v>
      </c>
      <c r="B90" s="2" t="s">
        <v>363</v>
      </c>
      <c r="C90" s="15">
        <v>301812</v>
      </c>
      <c r="D90" s="16">
        <f t="shared" si="3"/>
        <v>335011.32</v>
      </c>
    </row>
    <row r="91" spans="1:4" x14ac:dyDescent="0.25">
      <c r="A91" s="2" t="s">
        <v>39</v>
      </c>
      <c r="B91" s="2" t="s">
        <v>364</v>
      </c>
      <c r="C91" s="15">
        <v>301812</v>
      </c>
      <c r="D91" s="16">
        <f t="shared" si="3"/>
        <v>335011.32</v>
      </c>
    </row>
    <row r="92" spans="1:4" x14ac:dyDescent="0.25">
      <c r="A92" s="2" t="s">
        <v>31</v>
      </c>
      <c r="B92" s="2" t="s">
        <v>365</v>
      </c>
      <c r="C92" s="15">
        <v>301812</v>
      </c>
      <c r="D92" s="16">
        <f t="shared" si="3"/>
        <v>335011.32</v>
      </c>
    </row>
    <row r="93" spans="1:4" x14ac:dyDescent="0.25">
      <c r="A93" s="2" t="s">
        <v>27</v>
      </c>
      <c r="B93" s="2" t="s">
        <v>366</v>
      </c>
      <c r="C93" s="15">
        <v>301812</v>
      </c>
      <c r="D93" s="16">
        <f t="shared" si="3"/>
        <v>335011.32</v>
      </c>
    </row>
    <row r="94" spans="1:4" x14ac:dyDescent="0.25">
      <c r="A94" s="2" t="s">
        <v>23</v>
      </c>
      <c r="B94" s="2" t="s">
        <v>367</v>
      </c>
      <c r="C94" s="15">
        <v>301812</v>
      </c>
      <c r="D94" s="16">
        <f t="shared" si="3"/>
        <v>335011.32</v>
      </c>
    </row>
    <row r="95" spans="1:4" x14ac:dyDescent="0.25">
      <c r="A95" s="2" t="s">
        <v>10</v>
      </c>
      <c r="B95" s="2" t="s">
        <v>368</v>
      </c>
      <c r="C95" s="15">
        <v>301812</v>
      </c>
      <c r="D95" s="16">
        <f t="shared" si="3"/>
        <v>335011.32</v>
      </c>
    </row>
    <row r="96" spans="1:4" x14ac:dyDescent="0.25">
      <c r="A96" s="2" t="s">
        <v>9</v>
      </c>
      <c r="B96" s="2" t="s">
        <v>369</v>
      </c>
      <c r="C96" s="15">
        <v>301812</v>
      </c>
      <c r="D96" s="16">
        <f t="shared" si="3"/>
        <v>335011.32</v>
      </c>
    </row>
    <row r="97" spans="1:4" x14ac:dyDescent="0.25">
      <c r="A97" s="2" t="s">
        <v>30</v>
      </c>
      <c r="B97" s="2" t="s">
        <v>370</v>
      </c>
      <c r="C97" s="15">
        <v>301812</v>
      </c>
      <c r="D97" s="16">
        <f t="shared" si="3"/>
        <v>335011.32</v>
      </c>
    </row>
    <row r="98" spans="1:4" x14ac:dyDescent="0.25">
      <c r="A98" s="2" t="s">
        <v>81</v>
      </c>
      <c r="B98" s="2" t="s">
        <v>371</v>
      </c>
      <c r="C98" s="15">
        <v>301812</v>
      </c>
      <c r="D98" s="16">
        <f t="shared" si="3"/>
        <v>335011.32</v>
      </c>
    </row>
    <row r="99" spans="1:4" x14ac:dyDescent="0.25">
      <c r="A99" s="23" t="s">
        <v>58</v>
      </c>
      <c r="B99" s="2" t="s">
        <v>372</v>
      </c>
      <c r="C99" s="15">
        <v>65880</v>
      </c>
      <c r="D99" s="16">
        <f t="shared" si="3"/>
        <v>73126.8</v>
      </c>
    </row>
    <row r="100" spans="1:4" x14ac:dyDescent="0.25">
      <c r="A100" s="23" t="s">
        <v>55</v>
      </c>
      <c r="B100" s="2" t="s">
        <v>373</v>
      </c>
      <c r="C100" s="15">
        <v>65880</v>
      </c>
      <c r="D100" s="16">
        <f t="shared" si="3"/>
        <v>73126.8</v>
      </c>
    </row>
    <row r="101" spans="1:4" x14ac:dyDescent="0.25">
      <c r="A101" s="23" t="s">
        <v>50</v>
      </c>
      <c r="B101" s="2" t="s">
        <v>374</v>
      </c>
      <c r="C101" s="15">
        <v>65880</v>
      </c>
      <c r="D101" s="16">
        <f t="shared" si="3"/>
        <v>73126.8</v>
      </c>
    </row>
    <row r="102" spans="1:4" x14ac:dyDescent="0.25">
      <c r="A102" s="23" t="s">
        <v>64</v>
      </c>
      <c r="B102" s="2" t="s">
        <v>375</v>
      </c>
      <c r="C102" s="15">
        <v>65880</v>
      </c>
      <c r="D102" s="16">
        <f t="shared" si="3"/>
        <v>73126.8</v>
      </c>
    </row>
    <row r="103" spans="1:4" x14ac:dyDescent="0.25">
      <c r="A103" s="23" t="s">
        <v>61</v>
      </c>
      <c r="B103" s="2" t="s">
        <v>376</v>
      </c>
      <c r="C103" s="15">
        <v>65880</v>
      </c>
      <c r="D103" s="16">
        <f t="shared" si="3"/>
        <v>73126.8</v>
      </c>
    </row>
    <row r="104" spans="1:4" x14ac:dyDescent="0.25">
      <c r="A104" s="23" t="s">
        <v>52</v>
      </c>
      <c r="B104" s="2" t="s">
        <v>377</v>
      </c>
      <c r="C104" s="15">
        <v>65880</v>
      </c>
      <c r="D104" s="16">
        <f t="shared" si="3"/>
        <v>73126.8</v>
      </c>
    </row>
    <row r="105" spans="1:4" x14ac:dyDescent="0.25">
      <c r="A105" s="23" t="s">
        <v>53</v>
      </c>
      <c r="B105" s="2" t="s">
        <v>378</v>
      </c>
      <c r="C105" s="15">
        <v>65880</v>
      </c>
      <c r="D105" s="16">
        <f t="shared" si="3"/>
        <v>73126.8</v>
      </c>
    </row>
    <row r="106" spans="1:4" x14ac:dyDescent="0.25">
      <c r="A106" s="23" t="s">
        <v>66</v>
      </c>
      <c r="B106" s="2" t="s">
        <v>379</v>
      </c>
      <c r="C106" s="15">
        <v>65880</v>
      </c>
      <c r="D106" s="16">
        <f t="shared" si="3"/>
        <v>73126.8</v>
      </c>
    </row>
    <row r="107" spans="1:4" x14ac:dyDescent="0.25">
      <c r="A107" s="23" t="s">
        <v>380</v>
      </c>
      <c r="B107" s="2" t="s">
        <v>381</v>
      </c>
      <c r="C107" s="15">
        <v>65880</v>
      </c>
      <c r="D107" s="16">
        <f t="shared" si="3"/>
        <v>73126.8</v>
      </c>
    </row>
    <row r="108" spans="1:4" x14ac:dyDescent="0.25">
      <c r="A108" s="23" t="s">
        <v>71</v>
      </c>
      <c r="B108" s="2" t="s">
        <v>382</v>
      </c>
      <c r="C108" s="15">
        <v>65880</v>
      </c>
      <c r="D108" s="16">
        <f t="shared" si="3"/>
        <v>73126.8</v>
      </c>
    </row>
    <row r="109" spans="1:4" x14ac:dyDescent="0.25">
      <c r="A109" s="2" t="s">
        <v>67</v>
      </c>
      <c r="B109" s="2" t="s">
        <v>383</v>
      </c>
      <c r="C109" s="15">
        <v>51282</v>
      </c>
      <c r="D109" s="16">
        <f t="shared" si="3"/>
        <v>56923.020000000004</v>
      </c>
    </row>
    <row r="110" spans="1:4" x14ac:dyDescent="0.25">
      <c r="A110" s="2" t="s">
        <v>54</v>
      </c>
      <c r="B110" s="2" t="s">
        <v>384</v>
      </c>
      <c r="C110" s="15">
        <v>51282</v>
      </c>
      <c r="D110" s="16">
        <f t="shared" si="3"/>
        <v>56923.020000000004</v>
      </c>
    </row>
    <row r="111" spans="1:4" x14ac:dyDescent="0.25">
      <c r="A111" s="2" t="s">
        <v>49</v>
      </c>
      <c r="B111" s="2" t="s">
        <v>385</v>
      </c>
      <c r="C111" s="15">
        <v>51282</v>
      </c>
      <c r="D111" s="16">
        <f t="shared" si="3"/>
        <v>56923.020000000004</v>
      </c>
    </row>
    <row r="112" spans="1:4" x14ac:dyDescent="0.25">
      <c r="A112" s="2" t="s">
        <v>35</v>
      </c>
      <c r="B112" s="2" t="s">
        <v>386</v>
      </c>
      <c r="C112" s="15">
        <v>51282</v>
      </c>
      <c r="D112" s="16">
        <f t="shared" si="3"/>
        <v>56923.020000000004</v>
      </c>
    </row>
    <row r="113" spans="1:4" x14ac:dyDescent="0.25">
      <c r="A113" s="2" t="s">
        <v>28</v>
      </c>
      <c r="B113" s="2" t="s">
        <v>355</v>
      </c>
      <c r="C113" s="15">
        <v>51282</v>
      </c>
      <c r="D113" s="16">
        <f t="shared" si="3"/>
        <v>56923.020000000004</v>
      </c>
    </row>
    <row r="114" spans="1:4" x14ac:dyDescent="0.25">
      <c r="A114" s="2" t="s">
        <v>36</v>
      </c>
      <c r="B114" s="2" t="s">
        <v>387</v>
      </c>
      <c r="C114" s="15">
        <v>51282</v>
      </c>
      <c r="D114" s="16">
        <f t="shared" si="3"/>
        <v>56923.020000000004</v>
      </c>
    </row>
    <row r="115" spans="1:4" x14ac:dyDescent="0.25">
      <c r="A115" s="2" t="s">
        <v>40</v>
      </c>
      <c r="B115" s="2" t="s">
        <v>388</v>
      </c>
      <c r="C115" s="15">
        <v>51282</v>
      </c>
      <c r="D115" s="16">
        <f t="shared" si="3"/>
        <v>56923.020000000004</v>
      </c>
    </row>
    <row r="116" spans="1:4" x14ac:dyDescent="0.25">
      <c r="A116" s="2" t="s">
        <v>74</v>
      </c>
      <c r="B116" s="2" t="s">
        <v>389</v>
      </c>
      <c r="C116" s="15">
        <v>51282</v>
      </c>
      <c r="D116" s="16">
        <f t="shared" si="3"/>
        <v>56923.020000000004</v>
      </c>
    </row>
    <row r="117" spans="1:4" x14ac:dyDescent="0.25">
      <c r="A117" s="2" t="s">
        <v>75</v>
      </c>
      <c r="B117" s="2" t="s">
        <v>390</v>
      </c>
      <c r="C117" s="15">
        <v>51282</v>
      </c>
      <c r="D117" s="16">
        <f t="shared" si="3"/>
        <v>56923.020000000004</v>
      </c>
    </row>
    <row r="118" spans="1:4" x14ac:dyDescent="0.25">
      <c r="A118" s="2" t="s">
        <v>83</v>
      </c>
      <c r="B118" s="2" t="s">
        <v>391</v>
      </c>
      <c r="C118" s="15">
        <v>283200</v>
      </c>
      <c r="D118" s="16">
        <f t="shared" si="3"/>
        <v>314352</v>
      </c>
    </row>
    <row r="119" spans="1:4" x14ac:dyDescent="0.25">
      <c r="A119" s="2" t="s">
        <v>80</v>
      </c>
      <c r="B119" s="2" t="s">
        <v>392</v>
      </c>
      <c r="C119" s="15">
        <v>283200</v>
      </c>
      <c r="D119" s="16">
        <f t="shared" si="3"/>
        <v>314352</v>
      </c>
    </row>
    <row r="120" spans="1:4" x14ac:dyDescent="0.25">
      <c r="A120" s="2" t="s">
        <v>84</v>
      </c>
      <c r="B120" s="2" t="s">
        <v>393</v>
      </c>
      <c r="C120" s="15">
        <v>283200</v>
      </c>
      <c r="D120" s="16">
        <f t="shared" si="3"/>
        <v>314352</v>
      </c>
    </row>
    <row r="121" spans="1:4" x14ac:dyDescent="0.25">
      <c r="A121" s="2" t="s">
        <v>72</v>
      </c>
      <c r="B121" s="2" t="s">
        <v>394</v>
      </c>
      <c r="C121" s="15">
        <v>283200</v>
      </c>
      <c r="D121" s="16">
        <f t="shared" si="3"/>
        <v>314352</v>
      </c>
    </row>
    <row r="122" spans="1:4" x14ac:dyDescent="0.25">
      <c r="A122" s="2" t="s">
        <v>68</v>
      </c>
      <c r="B122" s="2" t="s">
        <v>395</v>
      </c>
      <c r="C122" s="15">
        <v>283200</v>
      </c>
      <c r="D122" s="16">
        <f t="shared" si="3"/>
        <v>314352</v>
      </c>
    </row>
    <row r="123" spans="1:4" x14ac:dyDescent="0.25">
      <c r="A123" s="2" t="s">
        <v>59</v>
      </c>
      <c r="B123" s="2" t="s">
        <v>396</v>
      </c>
      <c r="C123" s="15">
        <v>283200</v>
      </c>
      <c r="D123" s="16">
        <f t="shared" si="3"/>
        <v>314352</v>
      </c>
    </row>
    <row r="124" spans="1:4" x14ac:dyDescent="0.25">
      <c r="A124" s="2" t="s">
        <v>48</v>
      </c>
      <c r="B124" s="2" t="s">
        <v>397</v>
      </c>
      <c r="C124" s="15">
        <v>283200</v>
      </c>
      <c r="D124" s="16">
        <f t="shared" si="3"/>
        <v>314352</v>
      </c>
    </row>
    <row r="125" spans="1:4" x14ac:dyDescent="0.25">
      <c r="A125" s="2" t="s">
        <v>45</v>
      </c>
      <c r="B125" s="2" t="s">
        <v>398</v>
      </c>
      <c r="C125" s="15">
        <v>283200</v>
      </c>
      <c r="D125" s="16">
        <f t="shared" si="3"/>
        <v>314352</v>
      </c>
    </row>
    <row r="126" spans="1:4" x14ac:dyDescent="0.25">
      <c r="A126" s="2" t="s">
        <v>79</v>
      </c>
      <c r="B126" s="2" t="s">
        <v>399</v>
      </c>
      <c r="C126" s="15">
        <v>283200</v>
      </c>
      <c r="D126" s="16">
        <f t="shared" si="3"/>
        <v>314352</v>
      </c>
    </row>
    <row r="127" spans="1:4" x14ac:dyDescent="0.25">
      <c r="A127" s="2" t="s">
        <v>69</v>
      </c>
      <c r="B127" s="2" t="s">
        <v>70</v>
      </c>
      <c r="C127" s="15">
        <v>512400</v>
      </c>
      <c r="D127" s="16">
        <f t="shared" si="3"/>
        <v>568764</v>
      </c>
    </row>
    <row r="128" spans="1:4" x14ac:dyDescent="0.25">
      <c r="A128" s="2" t="s">
        <v>86</v>
      </c>
      <c r="B128" s="2" t="s">
        <v>70</v>
      </c>
      <c r="C128" s="15">
        <v>512400</v>
      </c>
      <c r="D128" s="16">
        <f t="shared" si="3"/>
        <v>568764</v>
      </c>
    </row>
    <row r="129" spans="1:4" x14ac:dyDescent="0.25">
      <c r="A129" s="2" t="s">
        <v>82</v>
      </c>
      <c r="B129" s="2" t="s">
        <v>324</v>
      </c>
      <c r="C129" s="15">
        <v>96600</v>
      </c>
      <c r="D129" s="16">
        <f t="shared" si="3"/>
        <v>107226.00000000001</v>
      </c>
    </row>
    <row r="130" spans="1:4" x14ac:dyDescent="0.25">
      <c r="A130" s="2" t="s">
        <v>85</v>
      </c>
      <c r="B130" s="2" t="s">
        <v>324</v>
      </c>
      <c r="C130" s="15">
        <v>96600</v>
      </c>
      <c r="D130" s="16">
        <f t="shared" si="3"/>
        <v>107226.00000000001</v>
      </c>
    </row>
    <row r="131" spans="1:4" x14ac:dyDescent="0.25">
      <c r="A131" s="2" t="s">
        <v>57</v>
      </c>
      <c r="B131" s="2" t="s">
        <v>401</v>
      </c>
      <c r="C131" s="15">
        <v>96120</v>
      </c>
      <c r="D131" s="16">
        <f t="shared" si="3"/>
        <v>106693.20000000001</v>
      </c>
    </row>
    <row r="132" spans="1:4" x14ac:dyDescent="0.25">
      <c r="A132" s="2" t="s">
        <v>42</v>
      </c>
      <c r="B132" s="2" t="s">
        <v>402</v>
      </c>
      <c r="C132" s="15">
        <v>96120</v>
      </c>
      <c r="D132" s="16">
        <f t="shared" si="3"/>
        <v>106693.20000000001</v>
      </c>
    </row>
    <row r="133" spans="1:4" x14ac:dyDescent="0.25">
      <c r="A133" s="2" t="s">
        <v>29</v>
      </c>
      <c r="B133" s="2" t="s">
        <v>403</v>
      </c>
      <c r="C133" s="15">
        <v>96120</v>
      </c>
      <c r="D133" s="16">
        <f t="shared" ref="D133:D151" si="4">C133*1.11</f>
        <v>106693.20000000001</v>
      </c>
    </row>
    <row r="134" spans="1:4" x14ac:dyDescent="0.25">
      <c r="A134" s="2" t="s">
        <v>24</v>
      </c>
      <c r="B134" s="2" t="s">
        <v>312</v>
      </c>
      <c r="C134" s="15">
        <v>96120</v>
      </c>
      <c r="D134" s="16">
        <f t="shared" si="4"/>
        <v>106693.20000000001</v>
      </c>
    </row>
    <row r="135" spans="1:4" x14ac:dyDescent="0.25">
      <c r="A135" s="2" t="s">
        <v>26</v>
      </c>
      <c r="B135" s="2" t="s">
        <v>313</v>
      </c>
      <c r="C135" s="15">
        <v>96120</v>
      </c>
      <c r="D135" s="16">
        <f t="shared" si="4"/>
        <v>106693.20000000001</v>
      </c>
    </row>
    <row r="136" spans="1:4" x14ac:dyDescent="0.25">
      <c r="A136" s="2" t="s">
        <v>6</v>
      </c>
      <c r="B136" s="2" t="s">
        <v>314</v>
      </c>
      <c r="C136" s="15">
        <v>96120</v>
      </c>
      <c r="D136" s="16">
        <f t="shared" si="4"/>
        <v>106693.20000000001</v>
      </c>
    </row>
    <row r="137" spans="1:4" x14ac:dyDescent="0.25">
      <c r="A137" s="2" t="s">
        <v>4</v>
      </c>
      <c r="B137" s="2" t="s">
        <v>315</v>
      </c>
      <c r="C137" s="15">
        <v>96120</v>
      </c>
      <c r="D137" s="16">
        <f t="shared" si="4"/>
        <v>106693.20000000001</v>
      </c>
    </row>
    <row r="138" spans="1:4" x14ac:dyDescent="0.25">
      <c r="A138" s="2" t="s">
        <v>5</v>
      </c>
      <c r="B138" s="2" t="s">
        <v>316</v>
      </c>
      <c r="C138" s="15">
        <v>96120</v>
      </c>
      <c r="D138" s="16">
        <f t="shared" si="4"/>
        <v>106693.20000000001</v>
      </c>
    </row>
    <row r="139" spans="1:4" x14ac:dyDescent="0.25">
      <c r="A139" s="2" t="s">
        <v>44</v>
      </c>
      <c r="B139" s="2" t="s">
        <v>317</v>
      </c>
      <c r="C139" s="15">
        <v>96120</v>
      </c>
      <c r="D139" s="16">
        <f t="shared" si="4"/>
        <v>106693.20000000001</v>
      </c>
    </row>
    <row r="140" spans="1:4" x14ac:dyDescent="0.25">
      <c r="A140" s="2" t="s">
        <v>78</v>
      </c>
      <c r="B140" s="2" t="s">
        <v>404</v>
      </c>
      <c r="C140" s="15">
        <v>36600</v>
      </c>
      <c r="D140" s="16">
        <f t="shared" si="4"/>
        <v>40626</v>
      </c>
    </row>
    <row r="141" spans="1:4" x14ac:dyDescent="0.25">
      <c r="A141" s="2" t="s">
        <v>76</v>
      </c>
      <c r="B141" s="2" t="s">
        <v>405</v>
      </c>
      <c r="C141" s="15">
        <v>36600</v>
      </c>
      <c r="D141" s="16">
        <f t="shared" si="4"/>
        <v>40626</v>
      </c>
    </row>
    <row r="142" spans="1:4" x14ac:dyDescent="0.25">
      <c r="A142" s="2" t="s">
        <v>77</v>
      </c>
      <c r="B142" s="2" t="s">
        <v>406</v>
      </c>
      <c r="C142" s="15">
        <v>36600</v>
      </c>
      <c r="D142" s="16">
        <f t="shared" si="4"/>
        <v>40626</v>
      </c>
    </row>
    <row r="143" spans="1:4" x14ac:dyDescent="0.25">
      <c r="A143" s="2" t="s">
        <v>37</v>
      </c>
      <c r="B143" s="2" t="s">
        <v>407</v>
      </c>
      <c r="C143" s="15">
        <v>36600</v>
      </c>
      <c r="D143" s="16">
        <f t="shared" si="4"/>
        <v>40626</v>
      </c>
    </row>
    <row r="144" spans="1:4" x14ac:dyDescent="0.25">
      <c r="A144" s="2" t="s">
        <v>33</v>
      </c>
      <c r="B144" s="2" t="s">
        <v>408</v>
      </c>
      <c r="C144" s="15">
        <v>36600</v>
      </c>
      <c r="D144" s="16">
        <f t="shared" si="4"/>
        <v>40626</v>
      </c>
    </row>
    <row r="145" spans="1:4" x14ac:dyDescent="0.25">
      <c r="A145" s="2" t="s">
        <v>73</v>
      </c>
      <c r="B145" s="2" t="s">
        <v>409</v>
      </c>
      <c r="C145" s="15">
        <v>36600</v>
      </c>
      <c r="D145" s="16">
        <f t="shared" si="4"/>
        <v>40626</v>
      </c>
    </row>
    <row r="146" spans="1:4" x14ac:dyDescent="0.25">
      <c r="A146" s="2" t="s">
        <v>62</v>
      </c>
      <c r="B146" s="2" t="s">
        <v>318</v>
      </c>
      <c r="C146" s="15">
        <v>234768</v>
      </c>
      <c r="D146" s="16">
        <f t="shared" si="4"/>
        <v>260592.48</v>
      </c>
    </row>
    <row r="147" spans="1:4" x14ac:dyDescent="0.25">
      <c r="A147" s="2" t="s">
        <v>56</v>
      </c>
      <c r="B147" s="2" t="s">
        <v>319</v>
      </c>
      <c r="C147" s="15">
        <v>234768</v>
      </c>
      <c r="D147" s="16">
        <f t="shared" si="4"/>
        <v>260592.48</v>
      </c>
    </row>
    <row r="148" spans="1:4" x14ac:dyDescent="0.25">
      <c r="A148" s="2" t="s">
        <v>60</v>
      </c>
      <c r="B148" s="2" t="s">
        <v>320</v>
      </c>
      <c r="C148" s="15">
        <v>234768</v>
      </c>
      <c r="D148" s="16">
        <f t="shared" si="4"/>
        <v>260592.48</v>
      </c>
    </row>
    <row r="149" spans="1:4" x14ac:dyDescent="0.25">
      <c r="A149" s="2" t="s">
        <v>51</v>
      </c>
      <c r="B149" s="2" t="s">
        <v>321</v>
      </c>
      <c r="C149" s="15">
        <v>234768</v>
      </c>
      <c r="D149" s="16">
        <f t="shared" si="4"/>
        <v>260592.48</v>
      </c>
    </row>
    <row r="150" spans="1:4" x14ac:dyDescent="0.25">
      <c r="A150" s="2" t="s">
        <v>47</v>
      </c>
      <c r="B150" s="2" t="s">
        <v>322</v>
      </c>
      <c r="C150" s="15">
        <v>234768</v>
      </c>
      <c r="D150" s="16">
        <f t="shared" si="4"/>
        <v>260592.48</v>
      </c>
    </row>
    <row r="151" spans="1:4" x14ac:dyDescent="0.25">
      <c r="A151" s="2" t="s">
        <v>65</v>
      </c>
      <c r="B151" s="2" t="s">
        <v>323</v>
      </c>
      <c r="C151" s="15">
        <v>234768</v>
      </c>
      <c r="D151" s="16">
        <f t="shared" si="4"/>
        <v>260592.48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71"/>
  <sheetViews>
    <sheetView topLeftCell="A5" zoomScale="70" zoomScaleNormal="70" workbookViewId="0">
      <selection activeCell="G75" sqref="G75"/>
    </sheetView>
  </sheetViews>
  <sheetFormatPr defaultRowHeight="15" x14ac:dyDescent="0.25"/>
  <cols>
    <col min="1" max="1" width="14" customWidth="1"/>
    <col min="2" max="2" width="35.5703125" customWidth="1"/>
    <col min="3" max="3" width="16.85546875" customWidth="1"/>
    <col min="4" max="4" width="19.140625" bestFit="1" customWidth="1"/>
    <col min="6" max="6" width="10.42578125" customWidth="1"/>
    <col min="8" max="8" width="14.5703125" bestFit="1" customWidth="1"/>
  </cols>
  <sheetData>
    <row r="1" spans="1:8" x14ac:dyDescent="0.25">
      <c r="A1" t="s">
        <v>306</v>
      </c>
    </row>
    <row r="2" spans="1:8" x14ac:dyDescent="0.25">
      <c r="A2" t="s">
        <v>305</v>
      </c>
    </row>
    <row r="3" spans="1:8" x14ac:dyDescent="0.25">
      <c r="A3" t="s">
        <v>304</v>
      </c>
    </row>
    <row r="4" spans="1:8" x14ac:dyDescent="0.25">
      <c r="C4" s="4"/>
      <c r="D4" s="4"/>
    </row>
    <row r="5" spans="1:8" ht="30" x14ac:dyDescent="0.25">
      <c r="A5" s="11" t="s">
        <v>0</v>
      </c>
      <c r="B5" s="11" t="s">
        <v>1</v>
      </c>
      <c r="C5" s="9" t="s">
        <v>302</v>
      </c>
      <c r="D5" s="11" t="s">
        <v>303</v>
      </c>
    </row>
    <row r="6" spans="1:8" x14ac:dyDescent="0.25">
      <c r="A6" s="12" t="s">
        <v>160</v>
      </c>
      <c r="B6" s="12" t="s">
        <v>161</v>
      </c>
      <c r="C6" s="15">
        <v>264960</v>
      </c>
      <c r="D6" s="16">
        <f>C6*1.11</f>
        <v>294105.60000000003</v>
      </c>
    </row>
    <row r="7" spans="1:8" x14ac:dyDescent="0.25">
      <c r="A7" s="12" t="s">
        <v>162</v>
      </c>
      <c r="B7" s="12" t="s">
        <v>163</v>
      </c>
      <c r="C7" s="15">
        <v>187200</v>
      </c>
      <c r="D7" s="16">
        <f t="shared" ref="D7:D36" si="0">C7*1.11</f>
        <v>207792.00000000003</v>
      </c>
    </row>
    <row r="8" spans="1:8" x14ac:dyDescent="0.25">
      <c r="A8" s="12" t="s">
        <v>164</v>
      </c>
      <c r="B8" s="12" t="s">
        <v>165</v>
      </c>
      <c r="C8" s="15">
        <v>66816</v>
      </c>
      <c r="D8" s="16">
        <f t="shared" si="0"/>
        <v>74165.760000000009</v>
      </c>
    </row>
    <row r="9" spans="1:8" x14ac:dyDescent="0.25">
      <c r="A9" s="12" t="s">
        <v>166</v>
      </c>
      <c r="B9" s="12" t="s">
        <v>167</v>
      </c>
      <c r="C9" s="15">
        <v>153792</v>
      </c>
      <c r="D9" s="16">
        <f t="shared" si="0"/>
        <v>170709.12000000002</v>
      </c>
    </row>
    <row r="10" spans="1:8" x14ac:dyDescent="0.25">
      <c r="A10" s="12" t="s">
        <v>168</v>
      </c>
      <c r="B10" s="12" t="s">
        <v>169</v>
      </c>
      <c r="C10" s="15">
        <v>81362760</v>
      </c>
      <c r="D10" s="16">
        <f t="shared" si="0"/>
        <v>90312663.600000009</v>
      </c>
    </row>
    <row r="11" spans="1:8" x14ac:dyDescent="0.25">
      <c r="A11" s="12" t="s">
        <v>170</v>
      </c>
      <c r="B11" s="12" t="s">
        <v>171</v>
      </c>
      <c r="C11" s="15">
        <v>22704545</v>
      </c>
      <c r="D11" s="16">
        <f t="shared" si="0"/>
        <v>25202044.950000003</v>
      </c>
      <c r="E11" s="13"/>
      <c r="H11" s="1"/>
    </row>
    <row r="12" spans="1:8" x14ac:dyDescent="0.25">
      <c r="A12" s="12" t="s">
        <v>172</v>
      </c>
      <c r="B12" s="12" t="s">
        <v>173</v>
      </c>
      <c r="C12" s="15">
        <v>5530667</v>
      </c>
      <c r="D12" s="16">
        <f t="shared" si="0"/>
        <v>6139040.3700000001</v>
      </c>
      <c r="E12" s="13"/>
      <c r="H12" s="1"/>
    </row>
    <row r="13" spans="1:8" x14ac:dyDescent="0.25">
      <c r="A13" s="12" t="s">
        <v>174</v>
      </c>
      <c r="B13" s="12" t="s">
        <v>175</v>
      </c>
      <c r="C13" s="15">
        <v>7488000</v>
      </c>
      <c r="D13" s="16">
        <f t="shared" si="0"/>
        <v>8311680.0000000009</v>
      </c>
      <c r="E13" s="13"/>
    </row>
    <row r="14" spans="1:8" x14ac:dyDescent="0.25">
      <c r="A14" s="12" t="s">
        <v>176</v>
      </c>
      <c r="B14" s="12" t="s">
        <v>177</v>
      </c>
      <c r="C14" s="15">
        <v>7628727</v>
      </c>
      <c r="D14" s="16">
        <f t="shared" si="0"/>
        <v>8467886.9700000007</v>
      </c>
      <c r="E14" s="13"/>
      <c r="H14" s="1"/>
    </row>
    <row r="15" spans="1:8" x14ac:dyDescent="0.25">
      <c r="A15" s="12" t="s">
        <v>178</v>
      </c>
      <c r="B15" s="12" t="s">
        <v>179</v>
      </c>
      <c r="C15" s="15">
        <v>7628727</v>
      </c>
      <c r="D15" s="16">
        <f t="shared" si="0"/>
        <v>8467886.9700000007</v>
      </c>
      <c r="E15" s="13"/>
      <c r="H15" s="1"/>
    </row>
    <row r="16" spans="1:8" x14ac:dyDescent="0.25">
      <c r="A16" s="12" t="s">
        <v>180</v>
      </c>
      <c r="B16" s="12" t="s">
        <v>181</v>
      </c>
      <c r="C16" s="15">
        <v>7628727</v>
      </c>
      <c r="D16" s="16">
        <f t="shared" si="0"/>
        <v>8467886.9700000007</v>
      </c>
      <c r="E16" s="13"/>
      <c r="H16" s="1"/>
    </row>
    <row r="17" spans="1:8" x14ac:dyDescent="0.25">
      <c r="A17" s="12" t="s">
        <v>182</v>
      </c>
      <c r="B17" s="12" t="s">
        <v>183</v>
      </c>
      <c r="C17" s="15">
        <v>9808827</v>
      </c>
      <c r="D17" s="16">
        <f t="shared" si="0"/>
        <v>10887797.970000001</v>
      </c>
      <c r="E17" s="13"/>
      <c r="H17" s="1"/>
    </row>
    <row r="18" spans="1:8" x14ac:dyDescent="0.25">
      <c r="A18" s="12" t="s">
        <v>184</v>
      </c>
      <c r="B18" s="12" t="s">
        <v>185</v>
      </c>
      <c r="C18" s="15">
        <v>8718567</v>
      </c>
      <c r="D18" s="16">
        <f t="shared" si="0"/>
        <v>9677609.370000001</v>
      </c>
      <c r="E18" s="13"/>
      <c r="H18" s="1"/>
    </row>
    <row r="19" spans="1:8" x14ac:dyDescent="0.25">
      <c r="A19" s="12" t="s">
        <v>186</v>
      </c>
      <c r="B19" s="12" t="s">
        <v>187</v>
      </c>
      <c r="C19" s="15">
        <v>16704000</v>
      </c>
      <c r="D19" s="16">
        <f t="shared" si="0"/>
        <v>18541440</v>
      </c>
      <c r="E19" s="13"/>
    </row>
    <row r="20" spans="1:8" x14ac:dyDescent="0.25">
      <c r="A20" s="12" t="s">
        <v>188</v>
      </c>
      <c r="B20" s="12" t="s">
        <v>189</v>
      </c>
      <c r="C20" s="15">
        <v>26496000</v>
      </c>
      <c r="D20" s="16">
        <f t="shared" si="0"/>
        <v>29410560.000000004</v>
      </c>
      <c r="E20" s="13"/>
    </row>
    <row r="21" spans="1:8" x14ac:dyDescent="0.25">
      <c r="A21" s="12" t="s">
        <v>190</v>
      </c>
      <c r="B21" s="12" t="s">
        <v>191</v>
      </c>
      <c r="C21" s="15">
        <v>495360000</v>
      </c>
      <c r="D21" s="16">
        <f t="shared" si="0"/>
        <v>549849600</v>
      </c>
      <c r="E21" s="13"/>
    </row>
    <row r="22" spans="1:8" x14ac:dyDescent="0.25">
      <c r="A22" s="12" t="s">
        <v>192</v>
      </c>
      <c r="B22" s="12" t="s">
        <v>193</v>
      </c>
      <c r="C22" s="15">
        <v>2073600</v>
      </c>
      <c r="D22" s="16">
        <f t="shared" si="0"/>
        <v>2301696</v>
      </c>
      <c r="E22" s="13"/>
    </row>
    <row r="23" spans="1:8" x14ac:dyDescent="0.25">
      <c r="A23" s="12" t="s">
        <v>194</v>
      </c>
      <c r="B23" s="12" t="s">
        <v>195</v>
      </c>
      <c r="C23" s="15">
        <v>3169228</v>
      </c>
      <c r="D23" s="16">
        <f t="shared" si="0"/>
        <v>3517843.0800000005</v>
      </c>
      <c r="E23" s="13"/>
    </row>
    <row r="24" spans="1:8" x14ac:dyDescent="0.25">
      <c r="A24" s="12" t="s">
        <v>196</v>
      </c>
      <c r="B24" s="12" t="s">
        <v>195</v>
      </c>
      <c r="C24" s="15">
        <v>3169228</v>
      </c>
      <c r="D24" s="16">
        <f t="shared" si="0"/>
        <v>3517843.0800000005</v>
      </c>
      <c r="E24" s="13"/>
    </row>
    <row r="25" spans="1:8" x14ac:dyDescent="0.25">
      <c r="A25" s="12" t="s">
        <v>197</v>
      </c>
      <c r="B25" s="12" t="s">
        <v>195</v>
      </c>
      <c r="C25" s="15">
        <v>3169228</v>
      </c>
      <c r="D25" s="16">
        <f t="shared" si="0"/>
        <v>3517843.0800000005</v>
      </c>
      <c r="E25" s="13"/>
    </row>
    <row r="26" spans="1:8" x14ac:dyDescent="0.25">
      <c r="A26" s="12" t="s">
        <v>198</v>
      </c>
      <c r="B26" s="12" t="s">
        <v>195</v>
      </c>
      <c r="C26" s="15">
        <v>3169228</v>
      </c>
      <c r="D26" s="16">
        <f t="shared" si="0"/>
        <v>3517843.0800000005</v>
      </c>
      <c r="E26" s="13"/>
    </row>
    <row r="27" spans="1:8" x14ac:dyDescent="0.25">
      <c r="A27" s="12" t="s">
        <v>199</v>
      </c>
      <c r="B27" s="12" t="s">
        <v>200</v>
      </c>
      <c r="C27" s="15">
        <v>5899636</v>
      </c>
      <c r="D27" s="16">
        <f t="shared" si="0"/>
        <v>6548595.9600000009</v>
      </c>
      <c r="E27" s="13"/>
      <c r="H27" s="1"/>
    </row>
    <row r="28" spans="1:8" x14ac:dyDescent="0.25">
      <c r="A28" s="12" t="s">
        <v>201</v>
      </c>
      <c r="B28" s="12" t="s">
        <v>202</v>
      </c>
      <c r="C28" s="15">
        <v>39684755</v>
      </c>
      <c r="D28" s="16">
        <f t="shared" si="0"/>
        <v>44050078.050000004</v>
      </c>
      <c r="E28" s="13"/>
      <c r="H28" s="1"/>
    </row>
    <row r="29" spans="1:8" x14ac:dyDescent="0.25">
      <c r="A29" s="12" t="s">
        <v>203</v>
      </c>
      <c r="B29" s="12" t="s">
        <v>204</v>
      </c>
      <c r="C29" s="15">
        <v>39684755</v>
      </c>
      <c r="D29" s="16">
        <f t="shared" si="0"/>
        <v>44050078.050000004</v>
      </c>
      <c r="E29" s="13"/>
      <c r="H29" s="1"/>
    </row>
    <row r="30" spans="1:8" x14ac:dyDescent="0.25">
      <c r="A30" s="12" t="s">
        <v>205</v>
      </c>
      <c r="B30" s="12" t="s">
        <v>206</v>
      </c>
      <c r="C30" s="15">
        <v>24218182</v>
      </c>
      <c r="D30" s="16">
        <f t="shared" si="0"/>
        <v>26882182.020000003</v>
      </c>
      <c r="E30" s="13"/>
      <c r="H30" s="1"/>
    </row>
    <row r="31" spans="1:8" x14ac:dyDescent="0.25">
      <c r="A31" s="12" t="s">
        <v>207</v>
      </c>
      <c r="B31" s="12" t="s">
        <v>208</v>
      </c>
      <c r="C31" s="15">
        <v>24218182</v>
      </c>
      <c r="D31" s="16">
        <f t="shared" si="0"/>
        <v>26882182.020000003</v>
      </c>
      <c r="E31" s="13"/>
      <c r="H31" s="1"/>
    </row>
    <row r="32" spans="1:8" x14ac:dyDescent="0.25">
      <c r="A32" s="12" t="s">
        <v>209</v>
      </c>
      <c r="B32" s="12" t="s">
        <v>210</v>
      </c>
      <c r="C32" s="15">
        <v>23818582</v>
      </c>
      <c r="D32" s="16">
        <f t="shared" si="0"/>
        <v>26438626.020000003</v>
      </c>
      <c r="E32" s="13"/>
      <c r="H32" s="1"/>
    </row>
    <row r="33" spans="1:8" x14ac:dyDescent="0.25">
      <c r="A33" s="12" t="s">
        <v>211</v>
      </c>
      <c r="B33" s="12" t="s">
        <v>212</v>
      </c>
      <c r="C33" s="15">
        <v>1724334545</v>
      </c>
      <c r="D33" s="16">
        <f t="shared" si="0"/>
        <v>1914011344.9500003</v>
      </c>
      <c r="E33" s="13"/>
      <c r="H33" s="1"/>
    </row>
    <row r="34" spans="1:8" x14ac:dyDescent="0.25">
      <c r="A34" s="12" t="s">
        <v>213</v>
      </c>
      <c r="B34" s="12" t="s">
        <v>214</v>
      </c>
      <c r="C34" s="15">
        <v>158629091</v>
      </c>
      <c r="D34" s="16">
        <f t="shared" si="0"/>
        <v>176078291.01000002</v>
      </c>
      <c r="E34" s="13"/>
      <c r="H34" s="1"/>
    </row>
    <row r="35" spans="1:8" x14ac:dyDescent="0.25">
      <c r="A35" s="12" t="s">
        <v>234</v>
      </c>
      <c r="B35" s="12" t="s">
        <v>235</v>
      </c>
      <c r="C35" s="15">
        <v>42072534</v>
      </c>
      <c r="D35" s="16">
        <f t="shared" si="0"/>
        <v>46700512.740000002</v>
      </c>
      <c r="E35" s="14"/>
      <c r="H35" s="1"/>
    </row>
    <row r="36" spans="1:8" x14ac:dyDescent="0.25">
      <c r="A36" s="12" t="s">
        <v>236</v>
      </c>
      <c r="B36" s="12" t="s">
        <v>237</v>
      </c>
      <c r="C36" s="15">
        <v>25308000</v>
      </c>
      <c r="D36" s="16">
        <f t="shared" si="0"/>
        <v>28091880.000000004</v>
      </c>
      <c r="E36" s="13"/>
      <c r="H36" s="1"/>
    </row>
    <row r="38" spans="1:8" x14ac:dyDescent="0.25">
      <c r="A38" s="17" t="s">
        <v>238</v>
      </c>
      <c r="B38" s="17" t="s">
        <v>239</v>
      </c>
      <c r="C38" s="18">
        <v>1650468</v>
      </c>
      <c r="D38" s="16">
        <f t="shared" ref="D38:D71" si="1">C38*1.11</f>
        <v>1832019.4800000002</v>
      </c>
      <c r="E38" s="10"/>
    </row>
    <row r="39" spans="1:8" x14ac:dyDescent="0.25">
      <c r="A39" s="17" t="s">
        <v>240</v>
      </c>
      <c r="B39" s="17" t="s">
        <v>241</v>
      </c>
      <c r="C39" s="18">
        <v>3290508</v>
      </c>
      <c r="D39" s="16">
        <f t="shared" si="1"/>
        <v>3652463.8800000004</v>
      </c>
      <c r="E39" s="10"/>
    </row>
    <row r="40" spans="1:8" x14ac:dyDescent="0.25">
      <c r="A40" s="17" t="s">
        <v>242</v>
      </c>
      <c r="B40" s="17" t="s">
        <v>243</v>
      </c>
      <c r="C40" s="18">
        <v>147888000</v>
      </c>
      <c r="D40" s="16">
        <f t="shared" si="1"/>
        <v>164155680</v>
      </c>
      <c r="E40" s="10"/>
    </row>
    <row r="41" spans="1:8" x14ac:dyDescent="0.25">
      <c r="A41" s="17" t="s">
        <v>244</v>
      </c>
      <c r="B41" s="17" t="s">
        <v>245</v>
      </c>
      <c r="C41" s="18">
        <v>73792320</v>
      </c>
      <c r="D41" s="16">
        <f t="shared" si="1"/>
        <v>81909475.200000003</v>
      </c>
      <c r="E41" s="10"/>
    </row>
    <row r="42" spans="1:8" x14ac:dyDescent="0.25">
      <c r="A42" s="17" t="s">
        <v>246</v>
      </c>
      <c r="B42" s="17" t="s">
        <v>247</v>
      </c>
      <c r="C42" s="18">
        <v>158291352</v>
      </c>
      <c r="D42" s="16">
        <f t="shared" si="1"/>
        <v>175703400.72000003</v>
      </c>
      <c r="E42" s="10"/>
    </row>
    <row r="43" spans="1:8" x14ac:dyDescent="0.25">
      <c r="A43" s="17" t="s">
        <v>248</v>
      </c>
      <c r="B43" s="17" t="s">
        <v>249</v>
      </c>
      <c r="C43" s="18">
        <v>109665588</v>
      </c>
      <c r="D43" s="16">
        <f t="shared" si="1"/>
        <v>121728802.68000001</v>
      </c>
      <c r="E43" s="10"/>
    </row>
    <row r="44" spans="1:8" x14ac:dyDescent="0.25">
      <c r="A44" s="17" t="s">
        <v>250</v>
      </c>
      <c r="B44" s="17" t="s">
        <v>251</v>
      </c>
      <c r="C44" s="18">
        <v>121689072</v>
      </c>
      <c r="D44" s="16">
        <f t="shared" si="1"/>
        <v>135074869.92000002</v>
      </c>
      <c r="E44" s="10"/>
    </row>
    <row r="45" spans="1:8" x14ac:dyDescent="0.25">
      <c r="A45" s="17" t="s">
        <v>252</v>
      </c>
      <c r="B45" s="17" t="s">
        <v>253</v>
      </c>
      <c r="C45" s="18">
        <v>3055404</v>
      </c>
      <c r="D45" s="16">
        <f t="shared" si="1"/>
        <v>3391498.4400000004</v>
      </c>
      <c r="E45" s="10"/>
    </row>
    <row r="46" spans="1:8" x14ac:dyDescent="0.25">
      <c r="A46" s="17" t="s">
        <v>254</v>
      </c>
      <c r="B46" s="17" t="s">
        <v>255</v>
      </c>
      <c r="C46" s="18">
        <v>190026600</v>
      </c>
      <c r="D46" s="16">
        <f t="shared" si="1"/>
        <v>210929526.00000003</v>
      </c>
      <c r="E46" s="10"/>
    </row>
    <row r="47" spans="1:8" x14ac:dyDescent="0.25">
      <c r="A47" s="17" t="s">
        <v>256</v>
      </c>
      <c r="B47" s="17" t="s">
        <v>257</v>
      </c>
      <c r="C47" s="18">
        <v>18817800</v>
      </c>
      <c r="D47" s="16">
        <f t="shared" si="1"/>
        <v>20887758</v>
      </c>
      <c r="E47" s="10"/>
    </row>
    <row r="48" spans="1:8" x14ac:dyDescent="0.25">
      <c r="A48" s="17" t="s">
        <v>258</v>
      </c>
      <c r="B48" s="17" t="s">
        <v>259</v>
      </c>
      <c r="C48" s="18">
        <v>19252932</v>
      </c>
      <c r="D48" s="16">
        <f t="shared" si="1"/>
        <v>21370754.520000003</v>
      </c>
      <c r="E48" s="10"/>
    </row>
    <row r="49" spans="1:5" x14ac:dyDescent="0.25">
      <c r="A49" s="17" t="s">
        <v>260</v>
      </c>
      <c r="B49" s="17" t="s">
        <v>261</v>
      </c>
      <c r="C49" s="18">
        <v>5935997</v>
      </c>
      <c r="D49" s="16">
        <f t="shared" si="1"/>
        <v>6588956.6700000009</v>
      </c>
      <c r="E49" s="10"/>
    </row>
    <row r="50" spans="1:5" x14ac:dyDescent="0.25">
      <c r="A50" s="17" t="s">
        <v>262</v>
      </c>
      <c r="B50" s="17" t="s">
        <v>263</v>
      </c>
      <c r="C50" s="18">
        <v>15002100</v>
      </c>
      <c r="D50" s="16">
        <f t="shared" si="1"/>
        <v>16652331.000000002</v>
      </c>
      <c r="E50" s="10"/>
    </row>
    <row r="51" spans="1:5" x14ac:dyDescent="0.25">
      <c r="A51" s="17" t="s">
        <v>264</v>
      </c>
      <c r="B51" s="17" t="s">
        <v>265</v>
      </c>
      <c r="C51" s="18">
        <v>6000840</v>
      </c>
      <c r="D51" s="16">
        <f t="shared" si="1"/>
        <v>6660932.4000000004</v>
      </c>
      <c r="E51" s="10"/>
    </row>
    <row r="52" spans="1:5" x14ac:dyDescent="0.25">
      <c r="A52" s="17" t="s">
        <v>266</v>
      </c>
      <c r="B52" s="17" t="s">
        <v>267</v>
      </c>
      <c r="C52" s="18">
        <v>6000840</v>
      </c>
      <c r="D52" s="16">
        <f t="shared" si="1"/>
        <v>6660932.4000000004</v>
      </c>
      <c r="E52" s="10"/>
    </row>
    <row r="53" spans="1:5" x14ac:dyDescent="0.25">
      <c r="A53" s="17" t="s">
        <v>268</v>
      </c>
      <c r="B53" s="17" t="s">
        <v>269</v>
      </c>
      <c r="C53" s="18">
        <v>16097040</v>
      </c>
      <c r="D53" s="16">
        <f t="shared" si="1"/>
        <v>17867714.400000002</v>
      </c>
      <c r="E53" s="10"/>
    </row>
    <row r="54" spans="1:5" x14ac:dyDescent="0.25">
      <c r="A54" s="17" t="s">
        <v>270</v>
      </c>
      <c r="B54" s="17" t="s">
        <v>271</v>
      </c>
      <c r="C54" s="18">
        <v>4610693</v>
      </c>
      <c r="D54" s="16">
        <f t="shared" si="1"/>
        <v>5117869.2300000004</v>
      </c>
      <c r="E54" s="10"/>
    </row>
    <row r="55" spans="1:5" x14ac:dyDescent="0.25">
      <c r="A55" s="17" t="s">
        <v>272</v>
      </c>
      <c r="B55" s="17" t="s">
        <v>273</v>
      </c>
      <c r="C55" s="18">
        <v>7251252</v>
      </c>
      <c r="D55" s="16">
        <f t="shared" si="1"/>
        <v>8048889.7200000007</v>
      </c>
      <c r="E55" s="10"/>
    </row>
    <row r="56" spans="1:5" x14ac:dyDescent="0.25">
      <c r="A56" s="17" t="s">
        <v>274</v>
      </c>
      <c r="B56" s="17" t="s">
        <v>275</v>
      </c>
      <c r="C56" s="18">
        <v>60008400</v>
      </c>
      <c r="D56" s="16">
        <f t="shared" si="1"/>
        <v>66609324.000000007</v>
      </c>
      <c r="E56" s="10"/>
    </row>
    <row r="57" spans="1:5" x14ac:dyDescent="0.25">
      <c r="A57" s="17" t="s">
        <v>276</v>
      </c>
      <c r="B57" s="17" t="s">
        <v>277</v>
      </c>
      <c r="C57" s="18">
        <v>90012600</v>
      </c>
      <c r="D57" s="16">
        <f t="shared" si="1"/>
        <v>99913986.000000015</v>
      </c>
      <c r="E57" s="10"/>
    </row>
    <row r="58" spans="1:5" x14ac:dyDescent="0.25">
      <c r="A58" s="17" t="s">
        <v>278</v>
      </c>
      <c r="B58" s="17" t="s">
        <v>279</v>
      </c>
      <c r="C58" s="18">
        <v>60258672</v>
      </c>
      <c r="D58" s="16">
        <f t="shared" si="1"/>
        <v>66887125.920000009</v>
      </c>
      <c r="E58" s="10"/>
    </row>
    <row r="59" spans="1:5" x14ac:dyDescent="0.25">
      <c r="A59" s="17" t="s">
        <v>280</v>
      </c>
      <c r="B59" s="17" t="s">
        <v>281</v>
      </c>
      <c r="C59" s="18">
        <v>127980000</v>
      </c>
      <c r="D59" s="16">
        <f t="shared" si="1"/>
        <v>142057800</v>
      </c>
      <c r="E59" s="10"/>
    </row>
    <row r="60" spans="1:5" x14ac:dyDescent="0.25">
      <c r="A60" s="17" t="s">
        <v>282</v>
      </c>
      <c r="B60" s="17" t="s">
        <v>283</v>
      </c>
      <c r="C60" s="18">
        <v>21804000</v>
      </c>
      <c r="D60" s="16">
        <f t="shared" si="1"/>
        <v>24202440.000000004</v>
      </c>
      <c r="E60" s="10"/>
    </row>
    <row r="61" spans="1:5" x14ac:dyDescent="0.25">
      <c r="A61" s="17" t="s">
        <v>284</v>
      </c>
      <c r="B61" s="17" t="s">
        <v>241</v>
      </c>
      <c r="C61" s="18">
        <v>8799905</v>
      </c>
      <c r="D61" s="16">
        <f t="shared" si="1"/>
        <v>9767894.5500000007</v>
      </c>
      <c r="E61" s="10"/>
    </row>
    <row r="62" spans="1:5" x14ac:dyDescent="0.25">
      <c r="A62" s="17" t="s">
        <v>285</v>
      </c>
      <c r="B62" s="17" t="s">
        <v>249</v>
      </c>
      <c r="C62" s="18">
        <v>135934289</v>
      </c>
      <c r="D62" s="16">
        <f t="shared" si="1"/>
        <v>150887060.79000002</v>
      </c>
      <c r="E62" s="10"/>
    </row>
    <row r="63" spans="1:5" x14ac:dyDescent="0.25">
      <c r="A63" s="17" t="s">
        <v>286</v>
      </c>
      <c r="B63" s="17" t="s">
        <v>287</v>
      </c>
      <c r="C63" s="18">
        <v>44886473</v>
      </c>
      <c r="D63" s="16">
        <f t="shared" si="1"/>
        <v>49823985.030000001</v>
      </c>
      <c r="E63" s="10"/>
    </row>
    <row r="64" spans="1:5" x14ac:dyDescent="0.25">
      <c r="A64" s="17" t="s">
        <v>288</v>
      </c>
      <c r="B64" s="17" t="s">
        <v>289</v>
      </c>
      <c r="C64" s="18">
        <v>3270600</v>
      </c>
      <c r="D64" s="16">
        <f t="shared" si="1"/>
        <v>3630366.0000000005</v>
      </c>
      <c r="E64" s="10"/>
    </row>
    <row r="65" spans="1:5" x14ac:dyDescent="0.25">
      <c r="A65" s="17" t="s">
        <v>290</v>
      </c>
      <c r="B65" s="17" t="s">
        <v>291</v>
      </c>
      <c r="C65" s="18">
        <v>4640460</v>
      </c>
      <c r="D65" s="16">
        <f t="shared" si="1"/>
        <v>5150910.6000000006</v>
      </c>
      <c r="E65" s="10"/>
    </row>
    <row r="66" spans="1:5" x14ac:dyDescent="0.25">
      <c r="A66" s="17" t="s">
        <v>292</v>
      </c>
      <c r="B66" s="17" t="s">
        <v>293</v>
      </c>
      <c r="C66" s="18">
        <v>50244</v>
      </c>
      <c r="D66" s="16">
        <f t="shared" si="1"/>
        <v>55770.840000000004</v>
      </c>
      <c r="E66" s="10"/>
    </row>
    <row r="67" spans="1:5" x14ac:dyDescent="0.25">
      <c r="A67" s="17" t="s">
        <v>294</v>
      </c>
      <c r="B67" s="17" t="s">
        <v>295</v>
      </c>
      <c r="C67" s="18">
        <v>65033</v>
      </c>
      <c r="D67" s="16">
        <f t="shared" si="1"/>
        <v>72186.63</v>
      </c>
      <c r="E67" s="10"/>
    </row>
    <row r="68" spans="1:5" x14ac:dyDescent="0.25">
      <c r="A68" s="17" t="s">
        <v>296</v>
      </c>
      <c r="B68" s="17" t="s">
        <v>297</v>
      </c>
      <c r="C68" s="18">
        <v>47400</v>
      </c>
      <c r="D68" s="16">
        <f t="shared" si="1"/>
        <v>52614.000000000007</v>
      </c>
      <c r="E68" s="10"/>
    </row>
    <row r="69" spans="1:5" x14ac:dyDescent="0.25">
      <c r="A69" s="17" t="s">
        <v>250</v>
      </c>
      <c r="B69" s="17" t="s">
        <v>251</v>
      </c>
      <c r="C69" s="18">
        <v>121689072</v>
      </c>
      <c r="D69" s="16">
        <f t="shared" si="1"/>
        <v>135074869.92000002</v>
      </c>
      <c r="E69" s="10"/>
    </row>
    <row r="70" spans="1:5" x14ac:dyDescent="0.25">
      <c r="A70" s="17" t="s">
        <v>298</v>
      </c>
      <c r="B70" s="17" t="s">
        <v>299</v>
      </c>
      <c r="C70" s="18">
        <v>19853016</v>
      </c>
      <c r="D70" s="16">
        <f t="shared" si="1"/>
        <v>22036847.760000002</v>
      </c>
      <c r="E70" s="10"/>
    </row>
    <row r="71" spans="1:5" x14ac:dyDescent="0.25">
      <c r="A71" s="17" t="s">
        <v>300</v>
      </c>
      <c r="B71" s="17" t="s">
        <v>301</v>
      </c>
      <c r="C71" s="18">
        <v>109968</v>
      </c>
      <c r="D71" s="16">
        <f t="shared" si="1"/>
        <v>122064.48000000001</v>
      </c>
      <c r="E71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Ng, Janet</dc:creator>
  <cp:lastModifiedBy>Saremben, Anthonius</cp:lastModifiedBy>
  <cp:lastPrinted>2024-05-29T02:56:11Z</cp:lastPrinted>
  <dcterms:created xsi:type="dcterms:W3CDTF">2023-10-12T05:14:26Z</dcterms:created>
  <dcterms:modified xsi:type="dcterms:W3CDTF">2024-07-10T09:47:16Z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